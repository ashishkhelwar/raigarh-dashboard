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Master List" sheetId="2" state="visible" r:id="rId4"/>
    <sheet name="TEMPLATE (copy for new site)" sheetId="3" state="visible" r:id="rId5"/>
    <sheet name="CA Kachkoba 468-26" sheetId="4" state="visible" r:id="rId6"/>
    <sheet name="CA Kachkoba 497" sheetId="5" state="visible" r:id="rId7"/>
    <sheet name="CA Jamdabri 51-1" sheetId="6" state="visible" r:id="rId8"/>
    <sheet name="CA Gharghodi 385-1" sheetId="7" state="visible" r:id="rId9"/>
    <sheet name="CA Bhengari 128-2" sheetId="8" state="visible" r:id="rId10"/>
    <sheet name="CA Natwarpur" sheetId="9" state="visible" r:id="rId11"/>
    <sheet name="CA Chakradharpur" sheetId="10" state="visible" r:id="rId12"/>
    <sheet name="CA Bengursia" sheetId="11" state="visible" r:id="rId13"/>
    <sheet name="CA Gudgahan" sheetId="12" state="visible" r:id="rId14"/>
    <sheet name="CA Chuhipali" sheetId="13" state="visible" r:id="rId15"/>
    <sheet name="PCA PF1163 Rajghatta" sheetId="14" state="visible" r:id="rId16"/>
    <sheet name="1312 RF" sheetId="15" state="visible" r:id="rId17"/>
    <sheet name="School-Anganbadi, Gharghoda Ran" sheetId="16" state="visible" r:id="rId18"/>
    <sheet name="Baroud to Bulekera" sheetId="17" state="visible" r:id="rId19"/>
    <sheet name="1288 OA Kurkut River" sheetId="18" state="visible" r:id="rId20"/>
    <sheet name="Fagurram Dam (surrounding area)" sheetId="19" state="visible" r:id="rId21"/>
    <sheet name="Porda Village Dam (surrounding" sheetId="20" state="visible" r:id="rId22"/>
    <sheet name="Kurkut River ~3 km (both side)" sheetId="21" state="visible" r:id="rId23"/>
    <sheet name="1010 RF &amp; Revenue Forest land" sheetId="22" state="visible" r:id="rId24"/>
    <sheet name="खड़धार 865 PF" sheetId="23" state="visible" r:id="rId25"/>
    <sheet name="1177,1179,1181,1182 RF &amp; Revenu" sheetId="24" state="visible" r:id="rId26"/>
    <sheet name="881 PF &amp; Revenue Forest land" sheetId="25" state="visible" r:id="rId27"/>
    <sheet name="डारआमा 1183 RF" sheetId="26" state="visible" r:id="rId28"/>
    <sheet name="881 PF &amp; 880 OA" sheetId="27" state="visible" r:id="rId29"/>
    <sheet name="Site 25" sheetId="28" state="visible" r:id="rId30"/>
    <sheet name="सोनबरसा (आड़ाझर) 1194 PF" sheetId="29" state="visible" r:id="rId31"/>
    <sheet name="खम्हरिया" sheetId="30" state="visible" r:id="rId32"/>
    <sheet name="डुमरमुड़ा 1017 RF" sheetId="31" state="visible" r:id="rId3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<sst xmlns="http://schemas.openxmlformats.org/spreadsheetml/2006/main" count="4925" uniqueCount="183">
  <si>
    <t xml:space="preserve">Plantation Expenditure — Data Entry Workbook</t>
  </si>
  <si>
    <t xml:space="preserve">How to use this workbook:</t>
  </si>
  <si>
    <t xml:space="preserve">1.  Each plantation site has its OWN tab at the bottom, named by its compartment number.</t>
  </si>
  <si>
    <t xml:space="preserve">2.  The 'Master List' tab shows all sites with S.No., compartment, range, area and plant count.</t>
  </si>
  <si>
    <t xml:space="preserve">3.  On each site tab, the standard work list (Year, Work Head, Work Name) is already filled — do NOT change it.</t>
  </si>
  <si>
    <t xml:space="preserve">4.  Staff only type into the YELLOW cells: 'Allocated (₹)' and 'Expended (₹)'.</t>
  </si>
  <si>
    <t xml:space="preserve">5.  The 'Balance (₹)' column and all 'Total' rows calculate automatically.</t>
  </si>
  <si>
    <t xml:space="preserve">6.  At the top of each site tab, choose the 'Budget Head' from the drop-down.</t>
  </si>
  <si>
    <t xml:space="preserve">7.  Use the 'Comments' column (far right) for any per-work note — optional.</t>
  </si>
  <si>
    <t xml:space="preserve">If a site has EXTRA / different works:</t>
  </si>
  <si>
    <t xml:space="preserve">   • Use the 'Additional / site-specific works' rows near the bottom of the tab.</t>
  </si>
  <si>
    <t xml:space="preserve">   • Pick the Year from the drop-down, type the Work Head, Work Name and amounts.</t>
  </si>
  <si>
    <t xml:space="preserve">   • The Total already counts these rows — nothing else to do.</t>
  </si>
  <si>
    <t xml:space="preserve">   • Need more than the spare rows? Insert a new row ABOVE the last spare row (not at the Total line).</t>
  </si>
  <si>
    <t xml:space="preserve">If a standard work does NOT apply to a site: leave its amounts blank or 0 — do not delete the row.</t>
  </si>
  <si>
    <t xml:space="preserve">When a NEW plantation site is sanctioned:</t>
  </si>
  <si>
    <t xml:space="preserve">   1. Right-click the 'TEMPLATE (copy for new site)' tab  →  Duplicate.</t>
  </si>
  <si>
    <t xml:space="preserve">   2. Rename the new tab to the site's compartment number.</t>
  </si>
  <si>
    <t xml:space="preserve">   3. Fill the header: Budget Head, Scheme/Work Type, Compartment, Range, Area, Plants.</t>
  </si>
  <si>
    <t xml:space="preserve">   4. Add one row for the new site on the 'Master List' tab.</t>
  </si>
  <si>
    <t xml:space="preserve">Colour guide:</t>
  </si>
  <si>
    <t xml:space="preserve">   • Yellow cell  = type here (Allocated / Expended amounts).</t>
  </si>
  <si>
    <t xml:space="preserve">   • Green header = fixed, do not edit.</t>
  </si>
  <si>
    <t xml:space="preserve">   • Grey 'Total' row = calculated automatically.</t>
  </si>
  <si>
    <t xml:space="preserve">Tip: Update 'Expended (₹)' as work progresses. Balance updates on its own.</t>
  </si>
  <si>
    <t xml:space="preserve">MASTER LIST — PLANTATION SITES</t>
  </si>
  <si>
    <t xml:space="preserve">S.No.</t>
  </si>
  <si>
    <t xml:space="preserve">Scheme / Work Type</t>
  </si>
  <si>
    <t xml:space="preserve">Compartment No.</t>
  </si>
  <si>
    <t xml:space="preserve">Range</t>
  </si>
  <si>
    <t xml:space="preserve">Area (Ha.)</t>
  </si>
  <si>
    <t xml:space="preserve">No. of Plants</t>
  </si>
  <si>
    <t xml:space="preserve">क्षतिपूर्ति वृक्षारोपण</t>
  </si>
  <si>
    <t xml:space="preserve">CA Kachkoba 468/26</t>
  </si>
  <si>
    <t xml:space="preserve">तमनार</t>
  </si>
  <si>
    <t xml:space="preserve">CA Kachkoba 497</t>
  </si>
  <si>
    <t xml:space="preserve">CA Jamdabri 51/1</t>
  </si>
  <si>
    <t xml:space="preserve">CA Gharghodi 385/1</t>
  </si>
  <si>
    <t xml:space="preserve">घरघोड़ा</t>
  </si>
  <si>
    <t xml:space="preserve">CA Bhengari 128/2</t>
  </si>
  <si>
    <t xml:space="preserve">CA Natwarpur</t>
  </si>
  <si>
    <t xml:space="preserve">रायगढ़</t>
  </si>
  <si>
    <t xml:space="preserve">CA Chakradharpur</t>
  </si>
  <si>
    <t xml:space="preserve">CA Bengursia</t>
  </si>
  <si>
    <t xml:space="preserve">CA Gudgahan</t>
  </si>
  <si>
    <t xml:space="preserve">CA Chuhipali</t>
  </si>
  <si>
    <t xml:space="preserve">दांडिक क्षतिपूर्ति वृक्षारोपण</t>
  </si>
  <si>
    <t xml:space="preserve">PCA PF1163 Rajghatta</t>
  </si>
  <si>
    <t xml:space="preserve">खरसिया</t>
  </si>
  <si>
    <t xml:space="preserve">Mixed Plantation on Revenue Forest (3 ha.)</t>
  </si>
  <si>
    <t xml:space="preserve">1312 RF</t>
  </si>
  <si>
    <t xml:space="preserve">Big Tree Plantation (School/Aaganbadi &amp; Govt office)</t>
  </si>
  <si>
    <t xml:space="preserve">School/Anganbadi, Gharghoda Range</t>
  </si>
  <si>
    <t xml:space="preserve">Plantation on Road side (Both Side) (4 km)</t>
  </si>
  <si>
    <t xml:space="preserve">Baroud to Bulekera</t>
  </si>
  <si>
    <t xml:space="preserve">Plantation on River side (Both side) (10 ha.)</t>
  </si>
  <si>
    <t xml:space="preserve">1288 OA Kurkut River</t>
  </si>
  <si>
    <t xml:space="preserve">Plantation on Faguram Dam/Pond (5 ha.)</t>
  </si>
  <si>
    <t xml:space="preserve">Fagurram Dam (surrounding area)</t>
  </si>
  <si>
    <t xml:space="preserve">Plantation on Porda Dam/Pond (8 ha.)</t>
  </si>
  <si>
    <t xml:space="preserve">Porda Village Dam (surrounding area)</t>
  </si>
  <si>
    <t xml:space="preserve">Riverbank Restoration</t>
  </si>
  <si>
    <t xml:space="preserve">Kurkut River ~3 km (both side)</t>
  </si>
  <si>
    <t xml:space="preserve">Plantation Below Tx Line (1st Year)</t>
  </si>
  <si>
    <t xml:space="preserve">1010 RF &amp; Revenue Forest land</t>
  </si>
  <si>
    <t xml:space="preserve">खड़धार 865 PF</t>
  </si>
  <si>
    <t xml:space="preserve">1177,1179,1181,1182 RF &amp; Revenue Forest land</t>
  </si>
  <si>
    <t xml:space="preserve">881 PF &amp; Revenue Forest land</t>
  </si>
  <si>
    <t xml:space="preserve">डारआमा 1183 RF</t>
  </si>
  <si>
    <t xml:space="preserve">881 PF &amp; 880 OA</t>
  </si>
  <si>
    <t xml:space="preserve">—</t>
  </si>
  <si>
    <t xml:space="preserve">Creation of Safety Zone (1st Year)</t>
  </si>
  <si>
    <t xml:space="preserve">सोनबरसा (आड़ाझर) 1194 PF</t>
  </si>
  <si>
    <t xml:space="preserve">खम्हरिया</t>
  </si>
  <si>
    <t xml:space="preserve">डुमरमुड़ा 1017 RF</t>
  </si>
  <si>
    <t xml:space="preserve">NEW SITE — duplicate this tab, rename it to the compartment no., then fill the header</t>
  </si>
  <si>
    <t xml:space="preserve">Budget Head:</t>
  </si>
  <si>
    <t xml:space="preserve">CAMPA APO 2025-26</t>
  </si>
  <si>
    <t xml:space="preserve">S.No.:</t>
  </si>
  <si>
    <t xml:space="preserve">Scheme / Work Type:</t>
  </si>
  <si>
    <t xml:space="preserve">Compartment No.:</t>
  </si>
  <si>
    <t xml:space="preserve">Range:</t>
  </si>
  <si>
    <t xml:space="preserve">Area (Ha.):</t>
  </si>
  <si>
    <t xml:space="preserve">No. of Plants:</t>
  </si>
  <si>
    <t xml:space="preserve">Year</t>
  </si>
  <si>
    <t xml:space="preserve">Work Head</t>
  </si>
  <si>
    <t xml:space="preserve">Work Name</t>
  </si>
  <si>
    <t xml:space="preserve">Allocated (₹)</t>
  </si>
  <si>
    <t xml:space="preserve">Expended (₹)</t>
  </si>
  <si>
    <t xml:space="preserve">Balance (₹)</t>
  </si>
  <si>
    <t xml:space="preserve">Comments</t>
  </si>
  <si>
    <t xml:space="preserve">प्रथम वर्ष</t>
  </si>
  <si>
    <t xml:space="preserve">क्षेत्र सर्वेक्षण</t>
  </si>
  <si>
    <t xml:space="preserve">क्षेत्र का सीमांकन</t>
  </si>
  <si>
    <t xml:space="preserve">वन सन्निधि उपचार मानचित्र</t>
  </si>
  <si>
    <t xml:space="preserve">फेंसिंग कार्य</t>
  </si>
  <si>
    <t xml:space="preserve">RCC पोल क्रय</t>
  </si>
  <si>
    <t xml:space="preserve">जी आई तार से निर्मित चैनलिंक लोहे की जाली क्रय</t>
  </si>
  <si>
    <t xml:space="preserve">फेंसिंग पोल फिक्सिंग</t>
  </si>
  <si>
    <t xml:space="preserve">आवश्यक सीमेंट कांक्रीट</t>
  </si>
  <si>
    <t xml:space="preserve">ट्रैकेबल पॉइंट तक चैनलिंक परिवहन</t>
  </si>
  <si>
    <t xml:space="preserve">जड़ भंडार उपचार कार्य</t>
  </si>
  <si>
    <t xml:space="preserve">ठूंठ ड्रेसिंग 20 से.मी. से अधिक गोलाई</t>
  </si>
  <si>
    <t xml:space="preserve">ठूंठ ड्रेसिंग 20 से.मी. से कम गोलाई</t>
  </si>
  <si>
    <t xml:space="preserve">Removal of IAS</t>
  </si>
  <si>
    <t xml:space="preserve">रोपणी पौधा तैयारी</t>
  </si>
  <si>
    <t xml:space="preserve">प्रथम वर्ष पौधा तैयारी</t>
  </si>
  <si>
    <t xml:space="preserve">रोपण क्षेत्र का उपचार</t>
  </si>
  <si>
    <t xml:space="preserve">स्टैकिंग कार्य</t>
  </si>
  <si>
    <t xml:space="preserve">मिट्टी परीक्षण</t>
  </si>
  <si>
    <t xml:space="preserve">गड्ढे का खुदाई</t>
  </si>
  <si>
    <t xml:space="preserve">मृदा परिवर्तन</t>
  </si>
  <si>
    <t xml:space="preserve">भू जल संरक्षण कार्य</t>
  </si>
  <si>
    <t xml:space="preserve">सिचाई सुविधा का विकास</t>
  </si>
  <si>
    <t xml:space="preserve">वाटर रजिस्टिविटी</t>
  </si>
  <si>
    <t xml:space="preserve">बोरेवेल खुदाई</t>
  </si>
  <si>
    <t xml:space="preserve">पम्प की स्थापना</t>
  </si>
  <si>
    <t xml:space="preserve">अनुसंधान एवं विकास</t>
  </si>
  <si>
    <t xml:space="preserve">प्रशिक्षण</t>
  </si>
  <si>
    <t xml:space="preserve">आस्था मूलक कार्य</t>
  </si>
  <si>
    <t xml:space="preserve">क्षेत्र सुरक्षा एवं अन्य कार्य</t>
  </si>
  <si>
    <t xml:space="preserve">अग्नि सुरक्षा</t>
  </si>
  <si>
    <t xml:space="preserve">अन्य व्यय</t>
  </si>
  <si>
    <t xml:space="preserve">द्वितीय वर्ष</t>
  </si>
  <si>
    <t xml:space="preserve">रोपणी पौधा रखरखाव व्यय</t>
  </si>
  <si>
    <t xml:space="preserve">रोपणी पौधा रखरखाव व्यय (10% पौधा)</t>
  </si>
  <si>
    <t xml:space="preserve">झाड़ी प्रजाति का पौधा तैयारी</t>
  </si>
  <si>
    <t xml:space="preserve">औषधीय, बेल एवं शकीय प्रजाति पौधा तैयारी</t>
  </si>
  <si>
    <t xml:space="preserve">पौधा परिवहन कार्य</t>
  </si>
  <si>
    <t xml:space="preserve">पौधा रोपण</t>
  </si>
  <si>
    <t xml:space="preserve">खाद एवं मिट्टी भराई कार्य</t>
  </si>
  <si>
    <t xml:space="preserve">पौधा परिवहन</t>
  </si>
  <si>
    <t xml:space="preserve">क्रय कार्य</t>
  </si>
  <si>
    <t xml:space="preserve">वर्मिकम्पोस्ट खाद क्रय</t>
  </si>
  <si>
    <t xml:space="preserve">DAP क्रय</t>
  </si>
  <si>
    <t xml:space="preserve">Biofertilizer, Harmones क्रय</t>
  </si>
  <si>
    <t xml:space="preserve">नीम खली</t>
  </si>
  <si>
    <t xml:space="preserve">कीटनाशक क्लोरोपायरीफ़ॉस क्रय</t>
  </si>
  <si>
    <t xml:space="preserve">एन.पी.के. क्रय</t>
  </si>
  <si>
    <t xml:space="preserve">निंदाई कार्य</t>
  </si>
  <si>
    <t xml:space="preserve">प्रथम - निंदाई एवं गुड़ाई कार्य</t>
  </si>
  <si>
    <t xml:space="preserve">द्वितीय - निंदाई एवं गुड़ाई कार्य</t>
  </si>
  <si>
    <t xml:space="preserve">तृतीय - निंदाई एवं गुड़ाई कार्य</t>
  </si>
  <si>
    <t xml:space="preserve">पानी सिचाईं कार्य</t>
  </si>
  <si>
    <t xml:space="preserve">नवंबर से मार्च तक सिचाई कार्य</t>
  </si>
  <si>
    <t xml:space="preserve">पम्प रख रखाव</t>
  </si>
  <si>
    <t xml:space="preserve">अन्य कल्चरल ऑपरेशन</t>
  </si>
  <si>
    <t xml:space="preserve">अनुश्रवण एवं मूल्यांकन</t>
  </si>
  <si>
    <t xml:space="preserve">सुरक्षा एवं अन्य आकस्मिक कार्य</t>
  </si>
  <si>
    <t xml:space="preserve">सुरक्षा श्रमिक</t>
  </si>
  <si>
    <t xml:space="preserve">साइनबोर्ड गेट रखरखाव कार्य</t>
  </si>
  <si>
    <t xml:space="preserve">अन्य आकस्मिक व्यय</t>
  </si>
  <si>
    <t xml:space="preserve">सामग्री मजदूरी में आकस्मिक वृद्धि</t>
  </si>
  <si>
    <t xml:space="preserve">Additional / site-specific works (fill only if needed)</t>
  </si>
  <si>
    <t xml:space="preserve">TOTAL</t>
  </si>
  <si>
    <t xml:space="preserve">CA Kachkoba 468/26 — EXPENDITURE ENTRY</t>
  </si>
  <si>
    <t xml:space="preserve">CA Kachkoba 497 — EXPENDITURE ENTRY</t>
  </si>
  <si>
    <t xml:space="preserve">CA Jamdabri 51/1 — EXPENDITURE ENTRY</t>
  </si>
  <si>
    <t xml:space="preserve">CA Gharghodi 385/1 — EXPENDITURE ENTRY</t>
  </si>
  <si>
    <t xml:space="preserve">CA Bhengari 128/2 — EXPENDITURE ENTRY</t>
  </si>
  <si>
    <t xml:space="preserve">CA Natwarpur — EXPENDITURE ENTRY</t>
  </si>
  <si>
    <t xml:space="preserve">CA Chakradharpur — EXPENDITURE ENTRY</t>
  </si>
  <si>
    <t xml:space="preserve">CA Bengursia — EXPENDITURE ENTRY</t>
  </si>
  <si>
    <t xml:space="preserve">CA Gudgahan — EXPENDITURE ENTRY</t>
  </si>
  <si>
    <t xml:space="preserve">CA Chuhipali — EXPENDITURE ENTRY</t>
  </si>
  <si>
    <t xml:space="preserve">PCA PF1163 Rajghatta — EXPENDITURE ENTRY</t>
  </si>
  <si>
    <t xml:space="preserve">1312 RF — EXPENDITURE ENTRY</t>
  </si>
  <si>
    <t xml:space="preserve">School/Anganbadi, Gharghoda Range — EXPENDITURE ENTRY</t>
  </si>
  <si>
    <t xml:space="preserve">Baroud to Bulekera — EXPENDITURE ENTRY</t>
  </si>
  <si>
    <t xml:space="preserve">1288 OA Kurkut River — EXPENDITURE ENTRY</t>
  </si>
  <si>
    <t xml:space="preserve">Fagurram Dam (surrounding area) — EXPENDITURE ENTRY</t>
  </si>
  <si>
    <t xml:space="preserve">Porda Village Dam (surrounding area) — EXPENDITURE ENTRY</t>
  </si>
  <si>
    <t xml:space="preserve">Kurkut River ~3 km (both side) — EXPENDITURE ENTRY</t>
  </si>
  <si>
    <t xml:space="preserve">1010 RF &amp; Revenue Forest land — EXPENDITURE ENTRY</t>
  </si>
  <si>
    <t xml:space="preserve">खड़धार 865 PF — EXPENDITURE ENTRY</t>
  </si>
  <si>
    <t xml:space="preserve">1177,1179,1181,1182 RF &amp; Revenue Forest land — EXPENDITURE ENTRY</t>
  </si>
  <si>
    <t xml:space="preserve">881 PF &amp; Revenue Forest land — EXPENDITURE ENTRY</t>
  </si>
  <si>
    <t xml:space="preserve">डारआमा 1183 RF — EXPENDITURE ENTRY</t>
  </si>
  <si>
    <t xml:space="preserve">881 PF &amp; 880 OA — EXPENDITURE ENTRY</t>
  </si>
  <si>
    <t xml:space="preserve">Site 25 — EXPENDITURE ENTRY</t>
  </si>
  <si>
    <t xml:space="preserve">सोनबरसा (आड़ाझर) 1194 PF — EXPENDITURE ENTRY</t>
  </si>
  <si>
    <t xml:space="preserve">खम्हरिया — EXPENDITURE ENTRY</t>
  </si>
  <si>
    <t xml:space="preserve">डुमरमुड़ा 1017 RF — EXPENDITURE ENTRY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</si>
</sst>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###"/>
    <numFmt numFmtId="166" formatCode="#,##0"/>
    <numFmt numFmtId="167" formatCode="#,##0;\(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C5F2E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2C5F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C5F2E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C5F2E"/>
        <bgColor rgb="FF333300"/>
      </patternFill>
    </fill>
    <fill>
      <patternFill patternType="solid">
        <fgColor rgb="FFE8F0E5"/>
        <bgColor rgb="FFF0F0F0"/>
      </patternFill>
    </fill>
    <fill>
      <patternFill patternType="solid">
        <fgColor rgb="FFFFF6CC"/>
        <bgColor rgb="FFF2F2F2"/>
      </patternFill>
    </fill>
    <fill>
      <patternFill patternType="solid">
        <fgColor rgb="FFF2F2F2"/>
        <bgColor rgb="FFF0F0F0"/>
      </patternFill>
    </fill>
    <fill>
      <patternFill patternType="solid">
        <fgColor rgb="FFF0F0F0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6CC"/>
      <rgbColor rgb="FFF0F0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8F0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5F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3" t="s">
        <v>1</v>
      </c>
    </row>
    <row r="6" customFormat="false" ht="15" hidden="false" customHeight="false" outlineLevel="0" collapsed="false">
      <c r="B6" s="2" t="s">
        <v>2</v>
      </c>
    </row>
    <row r="7" customFormat="false" ht="15" hidden="false" customHeight="false" outlineLevel="0" collapsed="false">
      <c r="B7" s="2" t="s">
        <v>3</v>
      </c>
    </row>
    <row r="8" customFormat="false" ht="15" hidden="false" customHeight="false" outlineLevel="0" collapsed="false">
      <c r="B8" s="2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2" t="s">
        <v>10</v>
      </c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3" t="s">
        <v>15</v>
      </c>
    </row>
    <row r="22" customFormat="false" ht="15" hidden="false" customHeight="false" outlineLevel="0" collapsed="false">
      <c r="B22" s="2" t="s">
        <v>16</v>
      </c>
    </row>
    <row r="23" customFormat="false" ht="15" hidden="false" customHeight="false" outlineLevel="0" collapsed="false">
      <c r="B23" s="2" t="s">
        <v>17</v>
      </c>
    </row>
    <row r="24" customFormat="false" ht="15" hidden="false" customHeight="false" outlineLevel="0" collapsed="false">
      <c r="B24" s="2" t="s">
        <v>18</v>
      </c>
    </row>
    <row r="25" customFormat="false" ht="15" hidden="false" customHeight="false" outlineLevel="0" collapsed="false">
      <c r="B25" s="2" t="s">
        <v>19</v>
      </c>
    </row>
    <row r="26" customFormat="false" ht="15" hidden="false" customHeight="false" outlineLevel="0" collapsed="false">
      <c r="B26" s="2"/>
    </row>
    <row r="27" customFormat="false" ht="15" hidden="false" customHeight="false" outlineLevel="0" collapsed="false">
      <c r="B27" s="3" t="s">
        <v>20</v>
      </c>
    </row>
    <row r="28" customFormat="false" ht="15" hidden="false" customHeight="false" outlineLevel="0" collapsed="false">
      <c r="B28" s="2" t="s">
        <v>21</v>
      </c>
    </row>
    <row r="29" customFormat="false" ht="15" hidden="false" customHeight="false" outlineLevel="0" collapsed="false">
      <c r="B29" s="2" t="s">
        <v>22</v>
      </c>
    </row>
    <row r="30" customFormat="false" ht="15" hidden="false" customHeight="false" outlineLevel="0" collapsed="false">
      <c r="B30" s="2" t="s">
        <v>23</v>
      </c>
    </row>
    <row r="31" customFormat="false" ht="15" hidden="false" customHeight="false" outlineLevel="0" collapsed="false">
      <c r="B31" s="2"/>
    </row>
    <row r="32" customFormat="false" ht="15" hidden="false" customHeight="false" outlineLevel="0" collapsed="false">
      <c r="B32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40"/>
    <col collapsed="false" customWidth="true" hidden="false" outlineLevel="0" max="5" min="4" style="0" width="12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4" t="s">
        <v>25</v>
      </c>
      <c r="B1" s="4"/>
      <c r="C1" s="4"/>
      <c r="D1" s="4"/>
      <c r="E1" s="4"/>
      <c r="F1" s="4"/>
    </row>
    <row r="3" customFormat="false" ht="15" hidden="false" customHeight="false" outlineLevel="0" collapsed="false">
      <c r="A3" s="5" t="s">
        <v>26</v>
      </c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</row>
    <row r="4" customFormat="false" ht="15" hidden="false" customHeight="false" outlineLevel="0" collapsed="false">
      <c r="A4" s="6" t="n">
        <v>1</v>
      </c>
      <c r="B4" s="7" t="s">
        <v>32</v>
      </c>
      <c r="C4" s="7" t="s">
        <v>33</v>
      </c>
      <c r="D4" s="8" t="s">
        <v>34</v>
      </c>
      <c r="E4" s="9" t="n">
        <v>12.116</v>
      </c>
      <c r="F4" s="10" t="n">
        <v>13933</v>
      </c>
    </row>
    <row r="5" customFormat="false" ht="15" hidden="false" customHeight="false" outlineLevel="0" collapsed="false">
      <c r="A5" s="6" t="n">
        <v>2</v>
      </c>
      <c r="B5" s="7" t="s">
        <v>32</v>
      </c>
      <c r="C5" s="7" t="s">
        <v>35</v>
      </c>
      <c r="D5" s="8" t="s">
        <v>34</v>
      </c>
      <c r="E5" s="9" t="n">
        <v>12.147</v>
      </c>
      <c r="F5" s="10" t="n">
        <v>13969</v>
      </c>
    </row>
    <row r="6" customFormat="false" ht="15" hidden="false" customHeight="false" outlineLevel="0" collapsed="false">
      <c r="A6" s="6" t="n">
        <v>3</v>
      </c>
      <c r="B6" s="7" t="s">
        <v>32</v>
      </c>
      <c r="C6" s="7" t="s">
        <v>36</v>
      </c>
      <c r="D6" s="8" t="s">
        <v>34</v>
      </c>
      <c r="E6" s="9" t="n">
        <v>1.4</v>
      </c>
      <c r="F6" s="10" t="n">
        <v>1610</v>
      </c>
    </row>
    <row r="7" customFormat="false" ht="15" hidden="false" customHeight="false" outlineLevel="0" collapsed="false">
      <c r="A7" s="6" t="n">
        <v>4</v>
      </c>
      <c r="B7" s="7" t="s">
        <v>32</v>
      </c>
      <c r="C7" s="7" t="s">
        <v>37</v>
      </c>
      <c r="D7" s="8" t="s">
        <v>38</v>
      </c>
      <c r="E7" s="9" t="n">
        <v>4.578</v>
      </c>
      <c r="F7" s="10" t="n">
        <v>5265</v>
      </c>
    </row>
    <row r="8" customFormat="false" ht="15" hidden="false" customHeight="false" outlineLevel="0" collapsed="false">
      <c r="A8" s="6" t="n">
        <v>5</v>
      </c>
      <c r="B8" s="7" t="s">
        <v>32</v>
      </c>
      <c r="C8" s="7" t="s">
        <v>39</v>
      </c>
      <c r="D8" s="8" t="s">
        <v>38</v>
      </c>
      <c r="E8" s="9" t="n">
        <v>3.035</v>
      </c>
      <c r="F8" s="10" t="n">
        <v>3490</v>
      </c>
    </row>
    <row r="9" customFormat="false" ht="15" hidden="false" customHeight="false" outlineLevel="0" collapsed="false">
      <c r="A9" s="6" t="n">
        <v>6</v>
      </c>
      <c r="B9" s="7" t="s">
        <v>32</v>
      </c>
      <c r="C9" s="7" t="s">
        <v>40</v>
      </c>
      <c r="D9" s="8" t="s">
        <v>41</v>
      </c>
      <c r="E9" s="9" t="n">
        <v>46.472</v>
      </c>
      <c r="F9" s="10" t="n">
        <v>61800</v>
      </c>
    </row>
    <row r="10" customFormat="false" ht="15" hidden="false" customHeight="false" outlineLevel="0" collapsed="false">
      <c r="A10" s="6" t="n">
        <v>7</v>
      </c>
      <c r="B10" s="7" t="s">
        <v>32</v>
      </c>
      <c r="C10" s="7" t="s">
        <v>42</v>
      </c>
      <c r="D10" s="8" t="s">
        <v>41</v>
      </c>
      <c r="E10" s="9" t="n">
        <v>58.18</v>
      </c>
      <c r="F10" s="10" t="n">
        <v>86000</v>
      </c>
    </row>
    <row r="11" customFormat="false" ht="15" hidden="false" customHeight="false" outlineLevel="0" collapsed="false">
      <c r="A11" s="6" t="n">
        <v>8</v>
      </c>
      <c r="B11" s="7" t="s">
        <v>32</v>
      </c>
      <c r="C11" s="7" t="s">
        <v>43</v>
      </c>
      <c r="D11" s="8" t="s">
        <v>41</v>
      </c>
      <c r="E11" s="9" t="n">
        <v>2.822</v>
      </c>
      <c r="F11" s="10" t="n">
        <v>4225</v>
      </c>
    </row>
    <row r="12" customFormat="false" ht="15" hidden="false" customHeight="false" outlineLevel="0" collapsed="false">
      <c r="A12" s="6" t="n">
        <v>9</v>
      </c>
      <c r="B12" s="7" t="s">
        <v>32</v>
      </c>
      <c r="C12" s="7" t="s">
        <v>44</v>
      </c>
      <c r="D12" s="8" t="s">
        <v>41</v>
      </c>
      <c r="E12" s="9" t="n">
        <v>31.14</v>
      </c>
      <c r="F12" s="10" t="n">
        <v>45450</v>
      </c>
    </row>
    <row r="13" customFormat="false" ht="15" hidden="false" customHeight="false" outlineLevel="0" collapsed="false">
      <c r="A13" s="6" t="n">
        <v>10</v>
      </c>
      <c r="B13" s="7" t="s">
        <v>32</v>
      </c>
      <c r="C13" s="7" t="s">
        <v>45</v>
      </c>
      <c r="D13" s="8" t="s">
        <v>41</v>
      </c>
      <c r="E13" s="9" t="n">
        <v>11.89</v>
      </c>
      <c r="F13" s="10" t="n">
        <v>17000</v>
      </c>
    </row>
    <row r="14" customFormat="false" ht="15" hidden="false" customHeight="false" outlineLevel="0" collapsed="false">
      <c r="A14" s="6" t="n">
        <v>11</v>
      </c>
      <c r="B14" s="7" t="s">
        <v>46</v>
      </c>
      <c r="C14" s="7" t="s">
        <v>47</v>
      </c>
      <c r="D14" s="8" t="s">
        <v>48</v>
      </c>
      <c r="E14" s="9" t="n">
        <v>2.8</v>
      </c>
      <c r="F14" s="10" t="n">
        <v>2800</v>
      </c>
    </row>
    <row r="15" customFormat="false" ht="15" hidden="false" customHeight="false" outlineLevel="0" collapsed="false">
      <c r="A15" s="6" t="n">
        <v>12</v>
      </c>
      <c r="B15" s="7" t="s">
        <v>49</v>
      </c>
      <c r="C15" s="7" t="s">
        <v>50</v>
      </c>
      <c r="D15" s="8" t="s">
        <v>38</v>
      </c>
      <c r="E15" s="9" t="n">
        <v>2.134</v>
      </c>
      <c r="F15" s="10" t="n">
        <v>2134</v>
      </c>
    </row>
    <row r="16" customFormat="false" ht="15" hidden="false" customHeight="false" outlineLevel="0" collapsed="false">
      <c r="A16" s="6" t="n">
        <v>13</v>
      </c>
      <c r="B16" s="7" t="s">
        <v>51</v>
      </c>
      <c r="C16" s="7" t="s">
        <v>52</v>
      </c>
      <c r="D16" s="8" t="s">
        <v>38</v>
      </c>
      <c r="E16" s="9" t="n">
        <v>0.5</v>
      </c>
      <c r="F16" s="10" t="n">
        <v>20</v>
      </c>
    </row>
    <row r="17" customFormat="false" ht="15" hidden="false" customHeight="false" outlineLevel="0" collapsed="false">
      <c r="A17" s="6" t="n">
        <v>14</v>
      </c>
      <c r="B17" s="7" t="s">
        <v>53</v>
      </c>
      <c r="C17" s="7" t="s">
        <v>54</v>
      </c>
      <c r="D17" s="8" t="s">
        <v>38</v>
      </c>
      <c r="E17" s="9" t="n">
        <v>4</v>
      </c>
      <c r="F17" s="10" t="n">
        <v>4000</v>
      </c>
    </row>
    <row r="18" customFormat="false" ht="15" hidden="false" customHeight="false" outlineLevel="0" collapsed="false">
      <c r="A18" s="6" t="n">
        <v>15</v>
      </c>
      <c r="B18" s="7" t="s">
        <v>55</v>
      </c>
      <c r="C18" s="7" t="s">
        <v>56</v>
      </c>
      <c r="D18" s="8" t="s">
        <v>38</v>
      </c>
      <c r="E18" s="9" t="n">
        <v>10</v>
      </c>
      <c r="F18" s="10" t="n">
        <v>8420</v>
      </c>
    </row>
    <row r="19" customFormat="false" ht="15" hidden="false" customHeight="false" outlineLevel="0" collapsed="false">
      <c r="A19" s="6" t="n">
        <v>16</v>
      </c>
      <c r="B19" s="7" t="s">
        <v>57</v>
      </c>
      <c r="C19" s="7" t="s">
        <v>58</v>
      </c>
      <c r="D19" s="8" t="s">
        <v>38</v>
      </c>
      <c r="E19" s="9" t="n">
        <v>5</v>
      </c>
      <c r="F19" s="10" t="n">
        <v>5000</v>
      </c>
    </row>
    <row r="20" customFormat="false" ht="15" hidden="false" customHeight="false" outlineLevel="0" collapsed="false">
      <c r="A20" s="6" t="n">
        <v>17</v>
      </c>
      <c r="B20" s="7" t="s">
        <v>59</v>
      </c>
      <c r="C20" s="7" t="s">
        <v>60</v>
      </c>
      <c r="D20" s="8" t="s">
        <v>38</v>
      </c>
      <c r="E20" s="9" t="n">
        <v>8</v>
      </c>
      <c r="F20" s="10" t="n">
        <v>8000</v>
      </c>
    </row>
    <row r="21" customFormat="false" ht="15" hidden="false" customHeight="false" outlineLevel="0" collapsed="false">
      <c r="A21" s="6" t="n">
        <v>18</v>
      </c>
      <c r="B21" s="7" t="s">
        <v>61</v>
      </c>
      <c r="C21" s="7" t="s">
        <v>62</v>
      </c>
      <c r="D21" s="8" t="s">
        <v>38</v>
      </c>
      <c r="E21" s="8"/>
      <c r="F21" s="8"/>
    </row>
    <row r="22" customFormat="false" ht="15" hidden="false" customHeight="false" outlineLevel="0" collapsed="false">
      <c r="A22" s="6" t="n">
        <v>19</v>
      </c>
      <c r="B22" s="7" t="s">
        <v>63</v>
      </c>
      <c r="C22" s="7" t="s">
        <v>64</v>
      </c>
      <c r="D22" s="8" t="s">
        <v>41</v>
      </c>
      <c r="E22" s="9" t="n">
        <v>3.551</v>
      </c>
      <c r="F22" s="10" t="n">
        <v>1953</v>
      </c>
    </row>
    <row r="23" customFormat="false" ht="15" hidden="false" customHeight="false" outlineLevel="0" collapsed="false">
      <c r="A23" s="6" t="n">
        <v>20</v>
      </c>
      <c r="B23" s="7" t="s">
        <v>63</v>
      </c>
      <c r="C23" s="7" t="s">
        <v>65</v>
      </c>
      <c r="D23" s="8" t="s">
        <v>41</v>
      </c>
      <c r="E23" s="9" t="n">
        <v>0.897</v>
      </c>
      <c r="F23" s="10" t="n">
        <v>247</v>
      </c>
    </row>
    <row r="24" customFormat="false" ht="15" hidden="false" customHeight="false" outlineLevel="0" collapsed="false">
      <c r="A24" s="6" t="n">
        <v>21</v>
      </c>
      <c r="B24" s="7" t="s">
        <v>63</v>
      </c>
      <c r="C24" s="7" t="s">
        <v>66</v>
      </c>
      <c r="D24" s="8" t="s">
        <v>48</v>
      </c>
      <c r="E24" s="9" t="n">
        <v>4.083</v>
      </c>
      <c r="F24" s="10" t="n">
        <v>2643</v>
      </c>
    </row>
    <row r="25" customFormat="false" ht="15" hidden="false" customHeight="false" outlineLevel="0" collapsed="false">
      <c r="A25" s="6" t="n">
        <v>22</v>
      </c>
      <c r="B25" s="7" t="s">
        <v>63</v>
      </c>
      <c r="C25" s="7" t="s">
        <v>67</v>
      </c>
      <c r="D25" s="8" t="s">
        <v>41</v>
      </c>
      <c r="E25" s="9" t="n">
        <v>0.255</v>
      </c>
      <c r="F25" s="10" t="n">
        <v>140</v>
      </c>
    </row>
    <row r="26" customFormat="false" ht="15" hidden="false" customHeight="false" outlineLevel="0" collapsed="false">
      <c r="A26" s="6" t="n">
        <v>23</v>
      </c>
      <c r="B26" s="7" t="s">
        <v>63</v>
      </c>
      <c r="C26" s="7" t="s">
        <v>68</v>
      </c>
      <c r="D26" s="8" t="s">
        <v>48</v>
      </c>
      <c r="E26" s="9" t="n">
        <v>0.146</v>
      </c>
      <c r="F26" s="10" t="n">
        <v>81</v>
      </c>
    </row>
    <row r="27" customFormat="false" ht="15" hidden="false" customHeight="false" outlineLevel="0" collapsed="false">
      <c r="A27" s="6" t="n">
        <v>24</v>
      </c>
      <c r="B27" s="7" t="s">
        <v>63</v>
      </c>
      <c r="C27" s="7" t="s">
        <v>69</v>
      </c>
      <c r="D27" s="8" t="s">
        <v>41</v>
      </c>
      <c r="E27" s="9" t="n">
        <v>0.66</v>
      </c>
      <c r="F27" s="10" t="n">
        <v>363</v>
      </c>
    </row>
    <row r="28" customFormat="false" ht="15" hidden="false" customHeight="false" outlineLevel="0" collapsed="false">
      <c r="A28" s="6" t="n">
        <v>25</v>
      </c>
      <c r="B28" s="7" t="s">
        <v>63</v>
      </c>
      <c r="C28" s="7" t="s">
        <v>70</v>
      </c>
      <c r="D28" s="8"/>
      <c r="E28" s="8"/>
      <c r="F28" s="8"/>
    </row>
    <row r="29" customFormat="false" ht="15" hidden="false" customHeight="false" outlineLevel="0" collapsed="false">
      <c r="A29" s="6" t="n">
        <v>26</v>
      </c>
      <c r="B29" s="7" t="s">
        <v>71</v>
      </c>
      <c r="C29" s="7" t="s">
        <v>72</v>
      </c>
      <c r="D29" s="8" t="s">
        <v>48</v>
      </c>
      <c r="E29" s="9" t="n">
        <v>18.45</v>
      </c>
      <c r="F29" s="10" t="n">
        <v>18450</v>
      </c>
    </row>
    <row r="30" customFormat="false" ht="15" hidden="false" customHeight="false" outlineLevel="0" collapsed="false">
      <c r="A30" s="6" t="n">
        <v>27</v>
      </c>
      <c r="B30" s="7" t="s">
        <v>71</v>
      </c>
      <c r="C30" s="7" t="s">
        <v>73</v>
      </c>
      <c r="D30" s="8" t="s">
        <v>34</v>
      </c>
      <c r="E30" s="9" t="n">
        <v>1</v>
      </c>
      <c r="F30" s="10" t="n">
        <v>1000</v>
      </c>
    </row>
    <row r="31" customFormat="false" ht="15" hidden="false" customHeight="false" outlineLevel="0" collapsed="false">
      <c r="A31" s="6" t="n">
        <v>28</v>
      </c>
      <c r="B31" s="7" t="s">
        <v>71</v>
      </c>
      <c r="C31" s="7" t="s">
        <v>74</v>
      </c>
      <c r="D31" s="8" t="s">
        <v>41</v>
      </c>
      <c r="E31" s="9" t="n">
        <v>30.23</v>
      </c>
      <c r="F31" s="10" t="n">
        <v>30230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11" t="s">
        <v>75</v>
      </c>
      <c r="B1" s="11"/>
      <c r="C1" s="11"/>
      <c r="D1" s="11"/>
      <c r="E1" s="11"/>
      <c r="F1" s="11"/>
      <c r="G1" s="11"/>
      <c r="H1" s="11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/>
    </row>
    <row r="3" customFormat="false" ht="15" hidden="false" customHeight="false" outlineLevel="0" collapsed="false">
      <c r="A3" s="12" t="s">
        <v>79</v>
      </c>
      <c r="C3" s="14"/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/>
      <c r="D4" s="14"/>
      <c r="E4" s="12" t="s">
        <v>81</v>
      </c>
      <c r="F4" s="2"/>
    </row>
    <row r="5" customFormat="false" ht="15" hidden="false" customHeight="false" outlineLevel="0" collapsed="false">
      <c r="A5" s="12" t="s">
        <v>82</v>
      </c>
      <c r="B5" s="2"/>
      <c r="C5" s="12" t="s">
        <v>83</v>
      </c>
      <c r="D5" s="2"/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155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1</v>
      </c>
    </row>
    <row r="3" customFormat="false" ht="15" hidden="false" customHeight="false" outlineLevel="0" collapsed="false">
      <c r="A3" s="12" t="s">
        <v>79</v>
      </c>
      <c r="C3" s="14" t="s">
        <v>32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33</v>
      </c>
      <c r="D4" s="14"/>
      <c r="E4" s="12" t="s">
        <v>81</v>
      </c>
      <c r="F4" s="2" t="s">
        <v>34</v>
      </c>
    </row>
    <row r="5" customFormat="false" ht="15" hidden="false" customHeight="false" outlineLevel="0" collapsed="false">
      <c r="A5" s="12" t="s">
        <v>82</v>
      </c>
      <c r="B5" s="25" t="n">
        <v>12.116</v>
      </c>
      <c r="C5" s="12" t="s">
        <v>83</v>
      </c>
      <c r="D5" s="26" t="n">
        <v>13933</v>
      </c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156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2</v>
      </c>
    </row>
    <row r="3" customFormat="false" ht="15" hidden="false" customHeight="false" outlineLevel="0" collapsed="false">
      <c r="A3" s="12" t="s">
        <v>79</v>
      </c>
      <c r="C3" s="14" t="s">
        <v>32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35</v>
      </c>
      <c r="D4" s="14"/>
      <c r="E4" s="12" t="s">
        <v>81</v>
      </c>
      <c r="F4" s="2" t="s">
        <v>34</v>
      </c>
    </row>
    <row r="5" customFormat="false" ht="15" hidden="false" customHeight="false" outlineLevel="0" collapsed="false">
      <c r="A5" s="12" t="s">
        <v>82</v>
      </c>
      <c r="B5" s="25" t="n">
        <v>12.147</v>
      </c>
      <c r="C5" s="12" t="s">
        <v>83</v>
      </c>
      <c r="D5" s="26" t="n">
        <v>13969</v>
      </c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157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3</v>
      </c>
    </row>
    <row r="3" customFormat="false" ht="15" hidden="false" customHeight="false" outlineLevel="0" collapsed="false">
      <c r="A3" s="12" t="s">
        <v>79</v>
      </c>
      <c r="C3" s="14" t="s">
        <v>32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36</v>
      </c>
      <c r="D4" s="14"/>
      <c r="E4" s="12" t="s">
        <v>81</v>
      </c>
      <c r="F4" s="2" t="s">
        <v>34</v>
      </c>
    </row>
    <row r="5" customFormat="false" ht="15" hidden="false" customHeight="false" outlineLevel="0" collapsed="false">
      <c r="A5" s="12" t="s">
        <v>82</v>
      </c>
      <c r="B5" s="25" t="n">
        <v>1.4</v>
      </c>
      <c r="C5" s="12" t="s">
        <v>83</v>
      </c>
      <c r="D5" s="26" t="n">
        <v>1610</v>
      </c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158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4</v>
      </c>
    </row>
    <row r="3" customFormat="false" ht="15" hidden="false" customHeight="false" outlineLevel="0" collapsed="false">
      <c r="A3" s="12" t="s">
        <v>79</v>
      </c>
      <c r="C3" s="14" t="s">
        <v>32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37</v>
      </c>
      <c r="D4" s="14"/>
      <c r="E4" s="12" t="s">
        <v>81</v>
      </c>
      <c r="F4" s="2" t="s">
        <v>38</v>
      </c>
    </row>
    <row r="5" customFormat="false" ht="15" hidden="false" customHeight="false" outlineLevel="0" collapsed="false">
      <c r="A5" s="12" t="s">
        <v>82</v>
      </c>
      <c r="B5" s="25" t="n">
        <v>4.578</v>
      </c>
      <c r="C5" s="12" t="s">
        <v>83</v>
      </c>
      <c r="D5" s="26" t="n">
        <v>5265</v>
      </c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159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5</v>
      </c>
    </row>
    <row r="3" customFormat="false" ht="15" hidden="false" customHeight="false" outlineLevel="0" collapsed="false">
      <c r="A3" s="12" t="s">
        <v>79</v>
      </c>
      <c r="C3" s="14" t="s">
        <v>32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39</v>
      </c>
      <c r="D4" s="14"/>
      <c r="E4" s="12" t="s">
        <v>81</v>
      </c>
      <c r="F4" s="2" t="s">
        <v>38</v>
      </c>
    </row>
    <row r="5" customFormat="false" ht="15" hidden="false" customHeight="false" outlineLevel="0" collapsed="false">
      <c r="A5" s="12" t="s">
        <v>82</v>
      </c>
      <c r="B5" s="25" t="n">
        <v>3.035</v>
      </c>
      <c r="C5" s="12" t="s">
        <v>83</v>
      </c>
      <c r="D5" s="26" t="n">
        <v>3490</v>
      </c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160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6</v>
      </c>
    </row>
    <row r="3" customFormat="false" ht="15" hidden="false" customHeight="false" outlineLevel="0" collapsed="false">
      <c r="A3" s="12" t="s">
        <v>79</v>
      </c>
      <c r="C3" s="14" t="s">
        <v>32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40</v>
      </c>
      <c r="D4" s="14"/>
      <c r="E4" s="12" t="s">
        <v>81</v>
      </c>
      <c r="F4" s="2" t="s">
        <v>41</v>
      </c>
    </row>
    <row r="5" customFormat="false" ht="15" hidden="false" customHeight="false" outlineLevel="0" collapsed="false">
      <c r="A5" s="12" t="s">
        <v>82</v>
      </c>
      <c r="B5" s="25" t="n">
        <v>46.472</v>
      </c>
      <c r="C5" s="12" t="s">
        <v>83</v>
      </c>
      <c r="D5" s="26" t="n">
        <v>61800</v>
      </c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161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7</v>
      </c>
    </row>
    <row r="3" customFormat="false" ht="15" hidden="false" customHeight="false" outlineLevel="0" collapsed="false">
      <c r="A3" s="12" t="s">
        <v>79</v>
      </c>
      <c r="C3" s="14" t="s">
        <v>32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42</v>
      </c>
      <c r="D4" s="14"/>
      <c r="E4" s="12" t="s">
        <v>81</v>
      </c>
      <c r="F4" s="2" t="s">
        <v>41</v>
      </c>
    </row>
    <row r="5" customFormat="false" ht="15" hidden="false" customHeight="false" outlineLevel="0" collapsed="false">
      <c r="A5" s="12" t="s">
        <v>82</v>
      </c>
      <c r="B5" s="25" t="n">
        <v>58.18</v>
      </c>
      <c r="C5" s="12" t="s">
        <v>83</v>
      </c>
      <c r="D5" s="26" t="n">
        <v>86000</v>
      </c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162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8</v>
      </c>
    </row>
    <row r="3" customFormat="false" ht="15" hidden="false" customHeight="false" outlineLevel="0" collapsed="false">
      <c r="A3" s="12" t="s">
        <v>79</v>
      </c>
      <c r="C3" s="14" t="s">
        <v>32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43</v>
      </c>
      <c r="D4" s="14"/>
      <c r="E4" s="12" t="s">
        <v>81</v>
      </c>
      <c r="F4" s="2" t="s">
        <v>41</v>
      </c>
    </row>
    <row r="5" customFormat="false" ht="15" hidden="false" customHeight="false" outlineLevel="0" collapsed="false">
      <c r="A5" s="12" t="s">
        <v>82</v>
      </c>
      <c r="B5" s="25" t="n">
        <v>2.822</v>
      </c>
      <c r="C5" s="12" t="s">
        <v>83</v>
      </c>
      <c r="D5" s="26" t="n">
        <v>4225</v>
      </c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163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9</v>
      </c>
    </row>
    <row r="3" customFormat="false" ht="15" hidden="false" customHeight="false" outlineLevel="0" collapsed="false">
      <c r="A3" s="12" t="s">
        <v>79</v>
      </c>
      <c r="C3" s="14" t="s">
        <v>32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44</v>
      </c>
      <c r="D4" s="14"/>
      <c r="E4" s="12" t="s">
        <v>81</v>
      </c>
      <c r="F4" s="2" t="s">
        <v>41</v>
      </c>
    </row>
    <row r="5" customFormat="false" ht="15" hidden="false" customHeight="false" outlineLevel="0" collapsed="false">
      <c r="A5" s="12" t="s">
        <v>82</v>
      </c>
      <c r="B5" s="25" t="n">
        <v>31.14</v>
      </c>
      <c r="C5" s="12" t="s">
        <v>83</v>
      </c>
      <c r="D5" s="26" t="n">
        <v>45450</v>
      </c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164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10</v>
      </c>
    </row>
    <row r="3" customFormat="false" ht="15" hidden="false" customHeight="false" outlineLevel="0" collapsed="false">
      <c r="A3" s="12" t="s">
        <v>79</v>
      </c>
      <c r="C3" s="14" t="s">
        <v>32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45</v>
      </c>
      <c r="D4" s="14"/>
      <c r="E4" s="12" t="s">
        <v>81</v>
      </c>
      <c r="F4" s="2" t="s">
        <v>41</v>
      </c>
    </row>
    <row r="5" customFormat="false" ht="15" hidden="false" customHeight="false" outlineLevel="0" collapsed="false">
      <c r="A5" s="12" t="s">
        <v>82</v>
      </c>
      <c r="B5" s="25" t="n">
        <v>11.89</v>
      </c>
      <c r="C5" s="12" t="s">
        <v>83</v>
      </c>
      <c r="D5" s="26" t="n">
        <v>17000</v>
      </c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165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11</v>
      </c>
    </row>
    <row r="3" customFormat="false" ht="15" hidden="false" customHeight="false" outlineLevel="0" collapsed="false">
      <c r="A3" s="12" t="s">
        <v>79</v>
      </c>
      <c r="C3" s="14" t="s">
        <v>46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47</v>
      </c>
      <c r="D4" s="14"/>
      <c r="E4" s="12" t="s">
        <v>81</v>
      </c>
      <c r="F4" s="2" t="s">
        <v>48</v>
      </c>
    </row>
    <row r="5" customFormat="false" ht="15" hidden="false" customHeight="false" outlineLevel="0" collapsed="false">
      <c r="A5" s="12" t="s">
        <v>82</v>
      </c>
      <c r="B5" s="25" t="n">
        <v>2.8</v>
      </c>
      <c r="C5" s="12" t="s">
        <v>83</v>
      </c>
      <c r="D5" s="26" t="n">
        <v>2800</v>
      </c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166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12</v>
      </c>
    </row>
    <row r="3" customFormat="false" ht="15" hidden="false" customHeight="false" outlineLevel="0" collapsed="false">
      <c r="A3" s="12" t="s">
        <v>79</v>
      </c>
      <c r="C3" s="14" t="s">
        <v>49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50</v>
      </c>
      <c r="D4" s="14"/>
      <c r="E4" s="12" t="s">
        <v>81</v>
      </c>
      <c r="F4" s="2" t="s">
        <v>38</v>
      </c>
    </row>
    <row r="5" customFormat="false" ht="15" hidden="false" customHeight="false" outlineLevel="0" collapsed="false">
      <c r="A5" s="12" t="s">
        <v>82</v>
      </c>
      <c r="B5" s="25" t="n">
        <v>2.134</v>
      </c>
      <c r="C5" s="12" t="s">
        <v>83</v>
      </c>
      <c r="D5" s="26" t="n">
        <v>2134</v>
      </c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167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13</v>
      </c>
    </row>
    <row r="3" customFormat="false" ht="15" hidden="false" customHeight="false" outlineLevel="0" collapsed="false">
      <c r="A3" s="12" t="s">
        <v>79</v>
      </c>
      <c r="C3" s="14" t="s">
        <v>51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52</v>
      </c>
      <c r="D4" s="14"/>
      <c r="E4" s="12" t="s">
        <v>81</v>
      </c>
      <c r="F4" s="2" t="s">
        <v>38</v>
      </c>
    </row>
    <row r="5" customFormat="false" ht="15" hidden="false" customHeight="false" outlineLevel="0" collapsed="false">
      <c r="A5" s="12" t="s">
        <v>82</v>
      </c>
      <c r="B5" s="25" t="n">
        <v>0.5</v>
      </c>
      <c r="C5" s="12" t="s">
        <v>83</v>
      </c>
      <c r="D5" s="26" t="n">
        <v>20</v>
      </c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168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14</v>
      </c>
    </row>
    <row r="3" customFormat="false" ht="15" hidden="false" customHeight="false" outlineLevel="0" collapsed="false">
      <c r="A3" s="12" t="s">
        <v>79</v>
      </c>
      <c r="C3" s="14" t="s">
        <v>53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54</v>
      </c>
      <c r="D4" s="14"/>
      <c r="E4" s="12" t="s">
        <v>81</v>
      </c>
      <c r="F4" s="2" t="s">
        <v>38</v>
      </c>
    </row>
    <row r="5" customFormat="false" ht="15" hidden="false" customHeight="false" outlineLevel="0" collapsed="false">
      <c r="A5" s="12" t="s">
        <v>82</v>
      </c>
      <c r="B5" s="25" t="n">
        <v>4</v>
      </c>
      <c r="C5" s="12" t="s">
        <v>83</v>
      </c>
      <c r="D5" s="26" t="n">
        <v>4000</v>
      </c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169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15</v>
      </c>
    </row>
    <row r="3" customFormat="false" ht="15" hidden="false" customHeight="false" outlineLevel="0" collapsed="false">
      <c r="A3" s="12" t="s">
        <v>79</v>
      </c>
      <c r="C3" s="14" t="s">
        <v>55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56</v>
      </c>
      <c r="D4" s="14"/>
      <c r="E4" s="12" t="s">
        <v>81</v>
      </c>
      <c r="F4" s="2" t="s">
        <v>38</v>
      </c>
    </row>
    <row r="5" customFormat="false" ht="15" hidden="false" customHeight="false" outlineLevel="0" collapsed="false">
      <c r="A5" s="12" t="s">
        <v>82</v>
      </c>
      <c r="B5" s="25" t="n">
        <v>10</v>
      </c>
      <c r="C5" s="12" t="s">
        <v>83</v>
      </c>
      <c r="D5" s="26" t="n">
        <v>8420</v>
      </c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170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16</v>
      </c>
    </row>
    <row r="3" customFormat="false" ht="15" hidden="false" customHeight="false" outlineLevel="0" collapsed="false">
      <c r="A3" s="12" t="s">
        <v>79</v>
      </c>
      <c r="C3" s="14" t="s">
        <v>57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58</v>
      </c>
      <c r="D4" s="14"/>
      <c r="E4" s="12" t="s">
        <v>81</v>
      </c>
      <c r="F4" s="2" t="s">
        <v>38</v>
      </c>
    </row>
    <row r="5" customFormat="false" ht="15" hidden="false" customHeight="false" outlineLevel="0" collapsed="false">
      <c r="A5" s="12" t="s">
        <v>82</v>
      </c>
      <c r="B5" s="25" t="n">
        <v>5</v>
      </c>
      <c r="C5" s="12" t="s">
        <v>83</v>
      </c>
      <c r="D5" s="26" t="n">
        <v>5000</v>
      </c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171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17</v>
      </c>
    </row>
    <row r="3" customFormat="false" ht="15" hidden="false" customHeight="false" outlineLevel="0" collapsed="false">
      <c r="A3" s="12" t="s">
        <v>79</v>
      </c>
      <c r="C3" s="14" t="s">
        <v>59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60</v>
      </c>
      <c r="D4" s="14"/>
      <c r="E4" s="12" t="s">
        <v>81</v>
      </c>
      <c r="F4" s="2" t="s">
        <v>38</v>
      </c>
    </row>
    <row r="5" customFormat="false" ht="15" hidden="false" customHeight="false" outlineLevel="0" collapsed="false">
      <c r="A5" s="12" t="s">
        <v>82</v>
      </c>
      <c r="B5" s="25" t="n">
        <v>8</v>
      </c>
      <c r="C5" s="12" t="s">
        <v>83</v>
      </c>
      <c r="D5" s="26" t="n">
        <v>8000</v>
      </c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172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18</v>
      </c>
    </row>
    <row r="3" customFormat="false" ht="15" hidden="false" customHeight="false" outlineLevel="0" collapsed="false">
      <c r="A3" s="12" t="s">
        <v>79</v>
      </c>
      <c r="C3" s="14" t="s">
        <v>61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62</v>
      </c>
      <c r="D4" s="14"/>
      <c r="E4" s="12" t="s">
        <v>81</v>
      </c>
      <c r="F4" s="2" t="s">
        <v>38</v>
      </c>
    </row>
    <row r="5" customFormat="false" ht="15" hidden="false" customHeight="false" outlineLevel="0" collapsed="false">
      <c r="A5" s="12" t="s">
        <v>82</v>
      </c>
      <c r="B5" s="2"/>
      <c r="C5" s="12" t="s">
        <v>83</v>
      </c>
      <c r="D5" s="2"/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173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19</v>
      </c>
    </row>
    <row r="3" customFormat="false" ht="15" hidden="false" customHeight="false" outlineLevel="0" collapsed="false">
      <c r="A3" s="12" t="s">
        <v>79</v>
      </c>
      <c r="C3" s="14" t="s">
        <v>63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64</v>
      </c>
      <c r="D4" s="14"/>
      <c r="E4" s="12" t="s">
        <v>81</v>
      </c>
      <c r="F4" s="2" t="s">
        <v>41</v>
      </c>
    </row>
    <row r="5" customFormat="false" ht="15" hidden="false" customHeight="false" outlineLevel="0" collapsed="false">
      <c r="A5" s="12" t="s">
        <v>82</v>
      </c>
      <c r="B5" s="25" t="n">
        <v>3.551</v>
      </c>
      <c r="C5" s="12" t="s">
        <v>83</v>
      </c>
      <c r="D5" s="26" t="n">
        <v>1953</v>
      </c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174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20</v>
      </c>
    </row>
    <row r="3" customFormat="false" ht="15" hidden="false" customHeight="false" outlineLevel="0" collapsed="false">
      <c r="A3" s="12" t="s">
        <v>79</v>
      </c>
      <c r="C3" s="14" t="s">
        <v>63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65</v>
      </c>
      <c r="D4" s="14"/>
      <c r="E4" s="12" t="s">
        <v>81</v>
      </c>
      <c r="F4" s="2" t="s">
        <v>41</v>
      </c>
    </row>
    <row r="5" customFormat="false" ht="15" hidden="false" customHeight="false" outlineLevel="0" collapsed="false">
      <c r="A5" s="12" t="s">
        <v>82</v>
      </c>
      <c r="B5" s="25" t="n">
        <v>0.897</v>
      </c>
      <c r="C5" s="12" t="s">
        <v>83</v>
      </c>
      <c r="D5" s="26" t="n">
        <v>247</v>
      </c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175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21</v>
      </c>
    </row>
    <row r="3" customFormat="false" ht="15" hidden="false" customHeight="false" outlineLevel="0" collapsed="false">
      <c r="A3" s="12" t="s">
        <v>79</v>
      </c>
      <c r="C3" s="14" t="s">
        <v>63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66</v>
      </c>
      <c r="D4" s="14"/>
      <c r="E4" s="12" t="s">
        <v>81</v>
      </c>
      <c r="F4" s="2" t="s">
        <v>48</v>
      </c>
    </row>
    <row r="5" customFormat="false" ht="15" hidden="false" customHeight="false" outlineLevel="0" collapsed="false">
      <c r="A5" s="12" t="s">
        <v>82</v>
      </c>
      <c r="B5" s="25" t="n">
        <v>4.083</v>
      </c>
      <c r="C5" s="12" t="s">
        <v>83</v>
      </c>
      <c r="D5" s="26" t="n">
        <v>2643</v>
      </c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176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22</v>
      </c>
    </row>
    <row r="3" customFormat="false" ht="15" hidden="false" customHeight="false" outlineLevel="0" collapsed="false">
      <c r="A3" s="12" t="s">
        <v>79</v>
      </c>
      <c r="C3" s="14" t="s">
        <v>63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67</v>
      </c>
      <c r="D4" s="14"/>
      <c r="E4" s="12" t="s">
        <v>81</v>
      </c>
      <c r="F4" s="2" t="s">
        <v>41</v>
      </c>
    </row>
    <row r="5" customFormat="false" ht="15" hidden="false" customHeight="false" outlineLevel="0" collapsed="false">
      <c r="A5" s="12" t="s">
        <v>82</v>
      </c>
      <c r="B5" s="25" t="n">
        <v>0.255</v>
      </c>
      <c r="C5" s="12" t="s">
        <v>83</v>
      </c>
      <c r="D5" s="26" t="n">
        <v>140</v>
      </c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177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23</v>
      </c>
    </row>
    <row r="3" customFormat="false" ht="15" hidden="false" customHeight="false" outlineLevel="0" collapsed="false">
      <c r="A3" s="12" t="s">
        <v>79</v>
      </c>
      <c r="C3" s="14" t="s">
        <v>63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68</v>
      </c>
      <c r="D4" s="14"/>
      <c r="E4" s="12" t="s">
        <v>81</v>
      </c>
      <c r="F4" s="2" t="s">
        <v>48</v>
      </c>
    </row>
    <row r="5" customFormat="false" ht="15" hidden="false" customHeight="false" outlineLevel="0" collapsed="false">
      <c r="A5" s="12" t="s">
        <v>82</v>
      </c>
      <c r="B5" s="25" t="n">
        <v>0.146</v>
      </c>
      <c r="C5" s="12" t="s">
        <v>83</v>
      </c>
      <c r="D5" s="26" t="n">
        <v>81</v>
      </c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178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24</v>
      </c>
    </row>
    <row r="3" customFormat="false" ht="15" hidden="false" customHeight="false" outlineLevel="0" collapsed="false">
      <c r="A3" s="12" t="s">
        <v>79</v>
      </c>
      <c r="C3" s="14" t="s">
        <v>63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69</v>
      </c>
      <c r="D4" s="14"/>
      <c r="E4" s="12" t="s">
        <v>81</v>
      </c>
      <c r="F4" s="2" t="s">
        <v>41</v>
      </c>
    </row>
    <row r="5" customFormat="false" ht="15" hidden="false" customHeight="false" outlineLevel="0" collapsed="false">
      <c r="A5" s="12" t="s">
        <v>82</v>
      </c>
      <c r="B5" s="25" t="n">
        <v>0.66</v>
      </c>
      <c r="C5" s="12" t="s">
        <v>83</v>
      </c>
      <c r="D5" s="26" t="n">
        <v>363</v>
      </c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179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25</v>
      </c>
    </row>
    <row r="3" customFormat="false" ht="15" hidden="false" customHeight="false" outlineLevel="0" collapsed="false">
      <c r="A3" s="12" t="s">
        <v>79</v>
      </c>
      <c r="C3" s="14" t="s">
        <v>63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70</v>
      </c>
      <c r="D4" s="14"/>
      <c r="E4" s="12" t="s">
        <v>81</v>
      </c>
      <c r="F4" s="2"/>
    </row>
    <row r="5" customFormat="false" ht="15" hidden="false" customHeight="false" outlineLevel="0" collapsed="false">
      <c r="A5" s="12" t="s">
        <v>82</v>
      </c>
      <c r="B5" s="2"/>
      <c r="C5" s="12" t="s">
        <v>83</v>
      </c>
      <c r="D5" s="2"/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180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26</v>
      </c>
    </row>
    <row r="3" customFormat="false" ht="15" hidden="false" customHeight="false" outlineLevel="0" collapsed="false">
      <c r="A3" s="12" t="s">
        <v>79</v>
      </c>
      <c r="C3" s="14" t="s">
        <v>71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72</v>
      </c>
      <c r="D4" s="14"/>
      <c r="E4" s="12" t="s">
        <v>81</v>
      </c>
      <c r="F4" s="2" t="s">
        <v>48</v>
      </c>
    </row>
    <row r="5" customFormat="false" ht="15" hidden="false" customHeight="false" outlineLevel="0" collapsed="false">
      <c r="A5" s="12" t="s">
        <v>82</v>
      </c>
      <c r="B5" s="25" t="n">
        <v>18.45</v>
      </c>
      <c r="C5" s="12" t="s">
        <v>83</v>
      </c>
      <c r="D5" s="26" t="n">
        <v>18450</v>
      </c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181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27</v>
      </c>
    </row>
    <row r="3" customFormat="false" ht="15" hidden="false" customHeight="false" outlineLevel="0" collapsed="false">
      <c r="A3" s="12" t="s">
        <v>79</v>
      </c>
      <c r="C3" s="14" t="s">
        <v>71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73</v>
      </c>
      <c r="D4" s="14"/>
      <c r="E4" s="12" t="s">
        <v>81</v>
      </c>
      <c r="F4" s="2" t="s">
        <v>34</v>
      </c>
    </row>
    <row r="5" customFormat="false" ht="15" hidden="false" customHeight="false" outlineLevel="0" collapsed="false">
      <c r="A5" s="12" t="s">
        <v>82</v>
      </c>
      <c r="B5" s="25" t="n">
        <v>1</v>
      </c>
      <c r="C5" s="12" t="s">
        <v>83</v>
      </c>
      <c r="D5" s="26" t="n">
        <v>1000</v>
      </c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4" t="s">
        <v>182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2" t="s">
        <v>76</v>
      </c>
      <c r="B2" s="13" t="s">
        <v>77</v>
      </c>
      <c r="E2" s="12" t="s">
        <v>78</v>
      </c>
      <c r="F2" s="2" t="n">
        <v>28</v>
      </c>
    </row>
    <row r="3" customFormat="false" ht="15" hidden="false" customHeight="false" outlineLevel="0" collapsed="false">
      <c r="A3" s="12" t="s">
        <v>79</v>
      </c>
      <c r="C3" s="14" t="s">
        <v>71</v>
      </c>
      <c r="D3" s="14"/>
      <c r="E3" s="14"/>
      <c r="F3" s="14"/>
      <c r="G3" s="14"/>
      <c r="H3" s="14"/>
    </row>
    <row r="4" customFormat="false" ht="15" hidden="false" customHeight="false" outlineLevel="0" collapsed="false">
      <c r="A4" s="12" t="s">
        <v>80</v>
      </c>
      <c r="C4" s="14" t="s">
        <v>74</v>
      </c>
      <c r="D4" s="14"/>
      <c r="E4" s="12" t="s">
        <v>81</v>
      </c>
      <c r="F4" s="2" t="s">
        <v>41</v>
      </c>
    </row>
    <row r="5" customFormat="false" ht="15" hidden="false" customHeight="false" outlineLevel="0" collapsed="false">
      <c r="A5" s="12" t="s">
        <v>82</v>
      </c>
      <c r="B5" s="25" t="n">
        <v>30.23</v>
      </c>
      <c r="C5" s="12" t="s">
        <v>83</v>
      </c>
      <c r="D5" s="26" t="n">
        <v>30230</v>
      </c>
    </row>
    <row r="7" customFormat="false" ht="15" hidden="false" customHeight="false" outlineLevel="0" collapsed="false">
      <c r="A7" s="5" t="s">
        <v>26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</row>
    <row r="8" customFormat="false" ht="15" hidden="false" customHeight="false" outlineLevel="0" collapsed="false">
      <c r="A8" s="8" t="n">
        <v>1</v>
      </c>
      <c r="B8" s="15" t="s">
        <v>91</v>
      </c>
      <c r="C8" s="16" t="s">
        <v>92</v>
      </c>
      <c r="D8" s="16" t="s">
        <v>93</v>
      </c>
      <c r="E8" s="17"/>
      <c r="F8" s="17"/>
      <c r="G8" s="18" t="n">
        <f aca="false">E8-F8</f>
        <v>0</v>
      </c>
      <c r="H8" s="19"/>
    </row>
    <row r="9" customFormat="false" ht="15" hidden="false" customHeight="false" outlineLevel="0" collapsed="false">
      <c r="A9" s="8" t="n">
        <v>2</v>
      </c>
      <c r="B9" s="15" t="s">
        <v>91</v>
      </c>
      <c r="C9" s="16" t="s">
        <v>92</v>
      </c>
      <c r="D9" s="16" t="s">
        <v>94</v>
      </c>
      <c r="E9" s="17"/>
      <c r="F9" s="17"/>
      <c r="G9" s="18" t="n">
        <f aca="false">E9-F9</f>
        <v>0</v>
      </c>
      <c r="H9" s="19"/>
    </row>
    <row r="10" customFormat="false" ht="15" hidden="false" customHeight="false" outlineLevel="0" collapsed="false">
      <c r="A10" s="8" t="n">
        <v>3</v>
      </c>
      <c r="B10" s="15" t="s">
        <v>91</v>
      </c>
      <c r="C10" s="16" t="s">
        <v>95</v>
      </c>
      <c r="D10" s="16" t="s">
        <v>96</v>
      </c>
      <c r="E10" s="17"/>
      <c r="F10" s="17"/>
      <c r="G10" s="18" t="n">
        <f aca="false">E10-F10</f>
        <v>0</v>
      </c>
      <c r="H10" s="19"/>
    </row>
    <row r="11" customFormat="false" ht="15" hidden="false" customHeight="false" outlineLevel="0" collapsed="false">
      <c r="A11" s="8" t="n">
        <v>4</v>
      </c>
      <c r="B11" s="15" t="s">
        <v>91</v>
      </c>
      <c r="C11" s="16" t="s">
        <v>95</v>
      </c>
      <c r="D11" s="16" t="s">
        <v>97</v>
      </c>
      <c r="E11" s="17"/>
      <c r="F11" s="17"/>
      <c r="G11" s="18" t="n">
        <f aca="false">E11-F11</f>
        <v>0</v>
      </c>
      <c r="H11" s="19"/>
    </row>
    <row r="12" customFormat="false" ht="15" hidden="false" customHeight="false" outlineLevel="0" collapsed="false">
      <c r="A12" s="8" t="n">
        <v>5</v>
      </c>
      <c r="B12" s="15" t="s">
        <v>91</v>
      </c>
      <c r="C12" s="16" t="s">
        <v>95</v>
      </c>
      <c r="D12" s="16" t="s">
        <v>98</v>
      </c>
      <c r="E12" s="17"/>
      <c r="F12" s="17"/>
      <c r="G12" s="18" t="n">
        <f aca="false">E12-F12</f>
        <v>0</v>
      </c>
      <c r="H12" s="19"/>
    </row>
    <row r="13" customFormat="false" ht="15" hidden="false" customHeight="false" outlineLevel="0" collapsed="false">
      <c r="A13" s="8" t="n">
        <v>6</v>
      </c>
      <c r="B13" s="15" t="s">
        <v>91</v>
      </c>
      <c r="C13" s="16" t="s">
        <v>95</v>
      </c>
      <c r="D13" s="16" t="s">
        <v>99</v>
      </c>
      <c r="E13" s="17"/>
      <c r="F13" s="17"/>
      <c r="G13" s="18" t="n">
        <f aca="false">E13-F13</f>
        <v>0</v>
      </c>
      <c r="H13" s="19"/>
    </row>
    <row r="14" customFormat="false" ht="15" hidden="false" customHeight="false" outlineLevel="0" collapsed="false">
      <c r="A14" s="8" t="n">
        <v>7</v>
      </c>
      <c r="B14" s="15" t="s">
        <v>91</v>
      </c>
      <c r="C14" s="16" t="s">
        <v>95</v>
      </c>
      <c r="D14" s="16" t="s">
        <v>100</v>
      </c>
      <c r="E14" s="17"/>
      <c r="F14" s="17"/>
      <c r="G14" s="18" t="n">
        <f aca="false">E14-F14</f>
        <v>0</v>
      </c>
      <c r="H14" s="19"/>
    </row>
    <row r="15" customFormat="false" ht="15" hidden="false" customHeight="false" outlineLevel="0" collapsed="false">
      <c r="A15" s="8" t="n">
        <v>8</v>
      </c>
      <c r="B15" s="15" t="s">
        <v>91</v>
      </c>
      <c r="C15" s="16" t="s">
        <v>101</v>
      </c>
      <c r="D15" s="16" t="s">
        <v>102</v>
      </c>
      <c r="E15" s="17"/>
      <c r="F15" s="17"/>
      <c r="G15" s="18" t="n">
        <f aca="false">E15-F15</f>
        <v>0</v>
      </c>
      <c r="H15" s="19"/>
    </row>
    <row r="16" customFormat="false" ht="15" hidden="false" customHeight="false" outlineLevel="0" collapsed="false">
      <c r="A16" s="8" t="n">
        <v>9</v>
      </c>
      <c r="B16" s="15" t="s">
        <v>91</v>
      </c>
      <c r="C16" s="16" t="s">
        <v>101</v>
      </c>
      <c r="D16" s="16" t="s">
        <v>103</v>
      </c>
      <c r="E16" s="17"/>
      <c r="F16" s="17"/>
      <c r="G16" s="18" t="n">
        <f aca="false">E16-F16</f>
        <v>0</v>
      </c>
      <c r="H16" s="19"/>
    </row>
    <row r="17" customFormat="false" ht="15" hidden="false" customHeight="false" outlineLevel="0" collapsed="false">
      <c r="A17" s="8" t="n">
        <v>10</v>
      </c>
      <c r="B17" s="15" t="s">
        <v>91</v>
      </c>
      <c r="C17" s="16" t="s">
        <v>101</v>
      </c>
      <c r="D17" s="16" t="s">
        <v>104</v>
      </c>
      <c r="E17" s="17"/>
      <c r="F17" s="17"/>
      <c r="G17" s="18" t="n">
        <f aca="false">E17-F17</f>
        <v>0</v>
      </c>
      <c r="H17" s="19"/>
    </row>
    <row r="18" customFormat="false" ht="15" hidden="false" customHeight="false" outlineLevel="0" collapsed="false">
      <c r="A18" s="8" t="n">
        <v>11</v>
      </c>
      <c r="B18" s="15" t="s">
        <v>91</v>
      </c>
      <c r="C18" s="16" t="s">
        <v>105</v>
      </c>
      <c r="D18" s="16" t="s">
        <v>106</v>
      </c>
      <c r="E18" s="17"/>
      <c r="F18" s="17"/>
      <c r="G18" s="18" t="n">
        <f aca="false">E18-F18</f>
        <v>0</v>
      </c>
      <c r="H18" s="19"/>
    </row>
    <row r="19" customFormat="false" ht="15" hidden="false" customHeight="false" outlineLevel="0" collapsed="false">
      <c r="A19" s="8" t="n">
        <v>12</v>
      </c>
      <c r="B19" s="15" t="s">
        <v>91</v>
      </c>
      <c r="C19" s="16" t="s">
        <v>107</v>
      </c>
      <c r="D19" s="16" t="s">
        <v>108</v>
      </c>
      <c r="E19" s="17"/>
      <c r="F19" s="17"/>
      <c r="G19" s="18" t="n">
        <f aca="false">E19-F19</f>
        <v>0</v>
      </c>
      <c r="H19" s="19"/>
    </row>
    <row r="20" customFormat="false" ht="15" hidden="false" customHeight="false" outlineLevel="0" collapsed="false">
      <c r="A20" s="8" t="n">
        <v>13</v>
      </c>
      <c r="B20" s="15" t="s">
        <v>91</v>
      </c>
      <c r="C20" s="16" t="s">
        <v>107</v>
      </c>
      <c r="D20" s="16" t="s">
        <v>109</v>
      </c>
      <c r="E20" s="17"/>
      <c r="F20" s="17"/>
      <c r="G20" s="18" t="n">
        <f aca="false">E20-F20</f>
        <v>0</v>
      </c>
      <c r="H20" s="19"/>
    </row>
    <row r="21" customFormat="false" ht="15" hidden="false" customHeight="false" outlineLevel="0" collapsed="false">
      <c r="A21" s="8" t="n">
        <v>14</v>
      </c>
      <c r="B21" s="15" t="s">
        <v>91</v>
      </c>
      <c r="C21" s="16" t="s">
        <v>107</v>
      </c>
      <c r="D21" s="16" t="s">
        <v>110</v>
      </c>
      <c r="E21" s="17"/>
      <c r="F21" s="17"/>
      <c r="G21" s="18" t="n">
        <f aca="false">E21-F21</f>
        <v>0</v>
      </c>
      <c r="H21" s="19"/>
    </row>
    <row r="22" customFormat="false" ht="15" hidden="false" customHeight="false" outlineLevel="0" collapsed="false">
      <c r="A22" s="8" t="n">
        <v>15</v>
      </c>
      <c r="B22" s="15" t="s">
        <v>91</v>
      </c>
      <c r="C22" s="16" t="s">
        <v>107</v>
      </c>
      <c r="D22" s="16" t="s">
        <v>111</v>
      </c>
      <c r="E22" s="17"/>
      <c r="F22" s="17"/>
      <c r="G22" s="18" t="n">
        <f aca="false">E22-F22</f>
        <v>0</v>
      </c>
      <c r="H22" s="19"/>
    </row>
    <row r="23" customFormat="false" ht="15" hidden="false" customHeight="false" outlineLevel="0" collapsed="false">
      <c r="A23" s="8" t="n">
        <v>16</v>
      </c>
      <c r="B23" s="15" t="s">
        <v>91</v>
      </c>
      <c r="C23" s="16" t="s">
        <v>112</v>
      </c>
      <c r="D23" s="16" t="s">
        <v>112</v>
      </c>
      <c r="E23" s="17"/>
      <c r="F23" s="17"/>
      <c r="G23" s="18" t="n">
        <f aca="false">E23-F23</f>
        <v>0</v>
      </c>
      <c r="H23" s="19"/>
    </row>
    <row r="24" customFormat="false" ht="15" hidden="false" customHeight="false" outlineLevel="0" collapsed="false">
      <c r="A24" s="8" t="n">
        <v>17</v>
      </c>
      <c r="B24" s="15" t="s">
        <v>91</v>
      </c>
      <c r="C24" s="16" t="s">
        <v>113</v>
      </c>
      <c r="D24" s="16" t="s">
        <v>114</v>
      </c>
      <c r="E24" s="17"/>
      <c r="F24" s="17"/>
      <c r="G24" s="18" t="n">
        <f aca="false">E24-F24</f>
        <v>0</v>
      </c>
      <c r="H24" s="19"/>
    </row>
    <row r="25" customFormat="false" ht="15" hidden="false" customHeight="false" outlineLevel="0" collapsed="false">
      <c r="A25" s="8" t="n">
        <v>18</v>
      </c>
      <c r="B25" s="15" t="s">
        <v>91</v>
      </c>
      <c r="C25" s="16" t="s">
        <v>113</v>
      </c>
      <c r="D25" s="16" t="s">
        <v>115</v>
      </c>
      <c r="E25" s="17"/>
      <c r="F25" s="17"/>
      <c r="G25" s="18" t="n">
        <f aca="false">E25-F25</f>
        <v>0</v>
      </c>
      <c r="H25" s="19"/>
    </row>
    <row r="26" customFormat="false" ht="15" hidden="false" customHeight="false" outlineLevel="0" collapsed="false">
      <c r="A26" s="8" t="n">
        <v>19</v>
      </c>
      <c r="B26" s="15" t="s">
        <v>91</v>
      </c>
      <c r="C26" s="16" t="s">
        <v>113</v>
      </c>
      <c r="D26" s="16" t="s">
        <v>116</v>
      </c>
      <c r="E26" s="17"/>
      <c r="F26" s="17"/>
      <c r="G26" s="18" t="n">
        <f aca="false">E26-F26</f>
        <v>0</v>
      </c>
      <c r="H26" s="19"/>
    </row>
    <row r="27" customFormat="false" ht="15" hidden="false" customHeight="false" outlineLevel="0" collapsed="false">
      <c r="A27" s="8" t="n">
        <v>20</v>
      </c>
      <c r="B27" s="15" t="s">
        <v>91</v>
      </c>
      <c r="C27" s="16" t="s">
        <v>117</v>
      </c>
      <c r="D27" s="16" t="s">
        <v>118</v>
      </c>
      <c r="E27" s="17"/>
      <c r="F27" s="17"/>
      <c r="G27" s="18" t="n">
        <f aca="false">E27-F27</f>
        <v>0</v>
      </c>
      <c r="H27" s="19"/>
    </row>
    <row r="28" customFormat="false" ht="15" hidden="false" customHeight="false" outlineLevel="0" collapsed="false">
      <c r="A28" s="8" t="n">
        <v>21</v>
      </c>
      <c r="B28" s="15" t="s">
        <v>91</v>
      </c>
      <c r="C28" s="16" t="s">
        <v>119</v>
      </c>
      <c r="D28" s="16" t="s">
        <v>119</v>
      </c>
      <c r="E28" s="17"/>
      <c r="F28" s="17"/>
      <c r="G28" s="18" t="n">
        <f aca="false">E28-F28</f>
        <v>0</v>
      </c>
      <c r="H28" s="19"/>
    </row>
    <row r="29" customFormat="false" ht="15" hidden="false" customHeight="false" outlineLevel="0" collapsed="false">
      <c r="A29" s="8" t="n">
        <v>22</v>
      </c>
      <c r="B29" s="15" t="s">
        <v>91</v>
      </c>
      <c r="C29" s="16" t="s">
        <v>120</v>
      </c>
      <c r="D29" s="16" t="s">
        <v>121</v>
      </c>
      <c r="E29" s="17"/>
      <c r="F29" s="17"/>
      <c r="G29" s="18" t="n">
        <f aca="false">E29-F29</f>
        <v>0</v>
      </c>
      <c r="H29" s="19"/>
    </row>
    <row r="30" customFormat="false" ht="15" hidden="false" customHeight="false" outlineLevel="0" collapsed="false">
      <c r="A30" s="8" t="n">
        <v>23</v>
      </c>
      <c r="B30" s="15" t="s">
        <v>91</v>
      </c>
      <c r="C30" s="16" t="s">
        <v>120</v>
      </c>
      <c r="D30" s="16" t="s">
        <v>122</v>
      </c>
      <c r="E30" s="17"/>
      <c r="F30" s="17"/>
      <c r="G30" s="18" t="n">
        <f aca="false">E30-F30</f>
        <v>0</v>
      </c>
      <c r="H30" s="19"/>
    </row>
    <row r="31" customFormat="false" ht="15" hidden="false" customHeight="false" outlineLevel="0" collapsed="false">
      <c r="A31" s="8" t="n">
        <v>24</v>
      </c>
      <c r="B31" s="15" t="s">
        <v>123</v>
      </c>
      <c r="C31" s="16" t="s">
        <v>105</v>
      </c>
      <c r="D31" s="16" t="s">
        <v>124</v>
      </c>
      <c r="E31" s="17"/>
      <c r="F31" s="17"/>
      <c r="G31" s="18" t="n">
        <f aca="false">E31-F31</f>
        <v>0</v>
      </c>
      <c r="H31" s="19"/>
    </row>
    <row r="32" customFormat="false" ht="15" hidden="false" customHeight="false" outlineLevel="0" collapsed="false">
      <c r="A32" s="8" t="n">
        <v>25</v>
      </c>
      <c r="B32" s="15" t="s">
        <v>123</v>
      </c>
      <c r="C32" s="16" t="s">
        <v>105</v>
      </c>
      <c r="D32" s="16" t="s">
        <v>125</v>
      </c>
      <c r="E32" s="17"/>
      <c r="F32" s="17"/>
      <c r="G32" s="18" t="n">
        <f aca="false">E32-F32</f>
        <v>0</v>
      </c>
      <c r="H32" s="19"/>
    </row>
    <row r="33" customFormat="false" ht="15" hidden="false" customHeight="false" outlineLevel="0" collapsed="false">
      <c r="A33" s="8" t="n">
        <v>26</v>
      </c>
      <c r="B33" s="15" t="s">
        <v>123</v>
      </c>
      <c r="C33" s="16" t="s">
        <v>105</v>
      </c>
      <c r="D33" s="16" t="s">
        <v>126</v>
      </c>
      <c r="E33" s="17"/>
      <c r="F33" s="17"/>
      <c r="G33" s="18" t="n">
        <f aca="false">E33-F33</f>
        <v>0</v>
      </c>
      <c r="H33" s="19"/>
    </row>
    <row r="34" customFormat="false" ht="15" hidden="false" customHeight="false" outlineLevel="0" collapsed="false">
      <c r="A34" s="8" t="n">
        <v>27</v>
      </c>
      <c r="B34" s="15" t="s">
        <v>123</v>
      </c>
      <c r="C34" s="16" t="s">
        <v>105</v>
      </c>
      <c r="D34" s="16" t="s">
        <v>127</v>
      </c>
      <c r="E34" s="17"/>
      <c r="F34" s="17"/>
      <c r="G34" s="18" t="n">
        <f aca="false">E34-F34</f>
        <v>0</v>
      </c>
      <c r="H34" s="19"/>
    </row>
    <row r="35" customFormat="false" ht="15" hidden="false" customHeight="false" outlineLevel="0" collapsed="false">
      <c r="A35" s="8" t="n">
        <v>28</v>
      </c>
      <c r="B35" s="15" t="s">
        <v>123</v>
      </c>
      <c r="C35" s="16" t="s">
        <v>107</v>
      </c>
      <c r="D35" s="16" t="s">
        <v>128</v>
      </c>
      <c r="E35" s="17"/>
      <c r="F35" s="17"/>
      <c r="G35" s="18" t="n">
        <f aca="false">E35-F35</f>
        <v>0</v>
      </c>
      <c r="H35" s="19"/>
    </row>
    <row r="36" customFormat="false" ht="15" hidden="false" customHeight="false" outlineLevel="0" collapsed="false">
      <c r="A36" s="8" t="n">
        <v>29</v>
      </c>
      <c r="B36" s="15" t="s">
        <v>123</v>
      </c>
      <c r="C36" s="16" t="s">
        <v>129</v>
      </c>
      <c r="D36" s="16" t="s">
        <v>130</v>
      </c>
      <c r="E36" s="17"/>
      <c r="F36" s="17"/>
      <c r="G36" s="18" t="n">
        <f aca="false">E36-F36</f>
        <v>0</v>
      </c>
      <c r="H36" s="19"/>
    </row>
    <row r="37" customFormat="false" ht="15" hidden="false" customHeight="false" outlineLevel="0" collapsed="false">
      <c r="A37" s="8" t="n">
        <v>30</v>
      </c>
      <c r="B37" s="15" t="s">
        <v>123</v>
      </c>
      <c r="C37" s="16" t="s">
        <v>129</v>
      </c>
      <c r="D37" s="16" t="s">
        <v>131</v>
      </c>
      <c r="E37" s="17"/>
      <c r="F37" s="17"/>
      <c r="G37" s="18" t="n">
        <f aca="false">E37-F37</f>
        <v>0</v>
      </c>
      <c r="H37" s="19"/>
    </row>
    <row r="38" customFormat="false" ht="15" hidden="false" customHeight="false" outlineLevel="0" collapsed="false">
      <c r="A38" s="8" t="n">
        <v>31</v>
      </c>
      <c r="B38" s="15" t="s">
        <v>123</v>
      </c>
      <c r="C38" s="16" t="s">
        <v>132</v>
      </c>
      <c r="D38" s="16" t="s">
        <v>133</v>
      </c>
      <c r="E38" s="17"/>
      <c r="F38" s="17"/>
      <c r="G38" s="18" t="n">
        <f aca="false">E38-F38</f>
        <v>0</v>
      </c>
      <c r="H38" s="19"/>
    </row>
    <row r="39" customFormat="false" ht="15" hidden="false" customHeight="false" outlineLevel="0" collapsed="false">
      <c r="A39" s="8" t="n">
        <v>32</v>
      </c>
      <c r="B39" s="15" t="s">
        <v>123</v>
      </c>
      <c r="C39" s="16" t="s">
        <v>132</v>
      </c>
      <c r="D39" s="16" t="s">
        <v>134</v>
      </c>
      <c r="E39" s="17"/>
      <c r="F39" s="17"/>
      <c r="G39" s="18" t="n">
        <f aca="false">E39-F39</f>
        <v>0</v>
      </c>
      <c r="H39" s="19"/>
    </row>
    <row r="40" customFormat="false" ht="15" hidden="false" customHeight="false" outlineLevel="0" collapsed="false">
      <c r="A40" s="8" t="n">
        <v>33</v>
      </c>
      <c r="B40" s="15" t="s">
        <v>123</v>
      </c>
      <c r="C40" s="16" t="s">
        <v>132</v>
      </c>
      <c r="D40" s="16" t="s">
        <v>135</v>
      </c>
      <c r="E40" s="17"/>
      <c r="F40" s="17"/>
      <c r="G40" s="18" t="n">
        <f aca="false">E40-F40</f>
        <v>0</v>
      </c>
      <c r="H40" s="19"/>
    </row>
    <row r="41" customFormat="false" ht="15" hidden="false" customHeight="false" outlineLevel="0" collapsed="false">
      <c r="A41" s="8" t="n">
        <v>34</v>
      </c>
      <c r="B41" s="15" t="s">
        <v>123</v>
      </c>
      <c r="C41" s="16" t="s">
        <v>132</v>
      </c>
      <c r="D41" s="16" t="s">
        <v>136</v>
      </c>
      <c r="E41" s="17"/>
      <c r="F41" s="17"/>
      <c r="G41" s="18" t="n">
        <f aca="false">E41-F41</f>
        <v>0</v>
      </c>
      <c r="H41" s="19"/>
    </row>
    <row r="42" customFormat="false" ht="15" hidden="false" customHeight="false" outlineLevel="0" collapsed="false">
      <c r="A42" s="8" t="n">
        <v>35</v>
      </c>
      <c r="B42" s="15" t="s">
        <v>123</v>
      </c>
      <c r="C42" s="16" t="s">
        <v>132</v>
      </c>
      <c r="D42" s="16" t="s">
        <v>137</v>
      </c>
      <c r="E42" s="17"/>
      <c r="F42" s="17"/>
      <c r="G42" s="18" t="n">
        <f aca="false">E42-F42</f>
        <v>0</v>
      </c>
      <c r="H42" s="19"/>
    </row>
    <row r="43" customFormat="false" ht="15" hidden="false" customHeight="false" outlineLevel="0" collapsed="false">
      <c r="A43" s="8" t="n">
        <v>36</v>
      </c>
      <c r="B43" s="15" t="s">
        <v>123</v>
      </c>
      <c r="C43" s="16" t="s">
        <v>132</v>
      </c>
      <c r="D43" s="16" t="s">
        <v>138</v>
      </c>
      <c r="E43" s="17"/>
      <c r="F43" s="17"/>
      <c r="G43" s="18" t="n">
        <f aca="false">E43-F43</f>
        <v>0</v>
      </c>
      <c r="H43" s="19"/>
    </row>
    <row r="44" customFormat="false" ht="15" hidden="false" customHeight="false" outlineLevel="0" collapsed="false">
      <c r="A44" s="8" t="n">
        <v>37</v>
      </c>
      <c r="B44" s="15" t="s">
        <v>123</v>
      </c>
      <c r="C44" s="16" t="s">
        <v>139</v>
      </c>
      <c r="D44" s="16" t="s">
        <v>140</v>
      </c>
      <c r="E44" s="17"/>
      <c r="F44" s="17"/>
      <c r="G44" s="18" t="n">
        <f aca="false">E44-F44</f>
        <v>0</v>
      </c>
      <c r="H44" s="19"/>
    </row>
    <row r="45" customFormat="false" ht="15" hidden="false" customHeight="false" outlineLevel="0" collapsed="false">
      <c r="A45" s="8" t="n">
        <v>38</v>
      </c>
      <c r="B45" s="15" t="s">
        <v>123</v>
      </c>
      <c r="C45" s="16" t="s">
        <v>139</v>
      </c>
      <c r="D45" s="16" t="s">
        <v>141</v>
      </c>
      <c r="E45" s="17"/>
      <c r="F45" s="17"/>
      <c r="G45" s="18" t="n">
        <f aca="false">E45-F45</f>
        <v>0</v>
      </c>
      <c r="H45" s="19"/>
    </row>
    <row r="46" customFormat="false" ht="15" hidden="false" customHeight="false" outlineLevel="0" collapsed="false">
      <c r="A46" s="8" t="n">
        <v>39</v>
      </c>
      <c r="B46" s="15" t="s">
        <v>123</v>
      </c>
      <c r="C46" s="16" t="s">
        <v>139</v>
      </c>
      <c r="D46" s="16" t="s">
        <v>142</v>
      </c>
      <c r="E46" s="17"/>
      <c r="F46" s="17"/>
      <c r="G46" s="18" t="n">
        <f aca="false">E46-F46</f>
        <v>0</v>
      </c>
      <c r="H46" s="19"/>
    </row>
    <row r="47" customFormat="false" ht="15" hidden="false" customHeight="false" outlineLevel="0" collapsed="false">
      <c r="A47" s="8" t="n">
        <v>40</v>
      </c>
      <c r="B47" s="15" t="s">
        <v>123</v>
      </c>
      <c r="C47" s="16" t="s">
        <v>143</v>
      </c>
      <c r="D47" s="16" t="s">
        <v>144</v>
      </c>
      <c r="E47" s="17"/>
      <c r="F47" s="17"/>
      <c r="G47" s="18" t="n">
        <f aca="false">E47-F47</f>
        <v>0</v>
      </c>
      <c r="H47" s="19"/>
    </row>
    <row r="48" customFormat="false" ht="15" hidden="false" customHeight="false" outlineLevel="0" collapsed="false">
      <c r="A48" s="8" t="n">
        <v>41</v>
      </c>
      <c r="B48" s="15" t="s">
        <v>123</v>
      </c>
      <c r="C48" s="16" t="s">
        <v>143</v>
      </c>
      <c r="D48" s="16" t="s">
        <v>145</v>
      </c>
      <c r="E48" s="17"/>
      <c r="F48" s="17"/>
      <c r="G48" s="18" t="n">
        <f aca="false">E48-F48</f>
        <v>0</v>
      </c>
      <c r="H48" s="19"/>
    </row>
    <row r="49" customFormat="false" ht="15" hidden="false" customHeight="false" outlineLevel="0" collapsed="false">
      <c r="A49" s="8" t="n">
        <v>42</v>
      </c>
      <c r="B49" s="15" t="s">
        <v>123</v>
      </c>
      <c r="C49" s="16" t="s">
        <v>146</v>
      </c>
      <c r="D49" s="16" t="s">
        <v>104</v>
      </c>
      <c r="E49" s="17"/>
      <c r="F49" s="17"/>
      <c r="G49" s="18" t="n">
        <f aca="false">E49-F49</f>
        <v>0</v>
      </c>
      <c r="H49" s="19"/>
    </row>
    <row r="50" customFormat="false" ht="15" hidden="false" customHeight="false" outlineLevel="0" collapsed="false">
      <c r="A50" s="8" t="n">
        <v>43</v>
      </c>
      <c r="B50" s="15" t="s">
        <v>123</v>
      </c>
      <c r="C50" s="16" t="s">
        <v>117</v>
      </c>
      <c r="D50" s="16" t="s">
        <v>147</v>
      </c>
      <c r="E50" s="17"/>
      <c r="F50" s="17"/>
      <c r="G50" s="18" t="n">
        <f aca="false">E50-F50</f>
        <v>0</v>
      </c>
      <c r="H50" s="19"/>
    </row>
    <row r="51" customFormat="false" ht="15" hidden="false" customHeight="false" outlineLevel="0" collapsed="false">
      <c r="A51" s="8" t="n">
        <v>44</v>
      </c>
      <c r="B51" s="15" t="s">
        <v>123</v>
      </c>
      <c r="C51" s="16" t="s">
        <v>117</v>
      </c>
      <c r="D51" s="16" t="s">
        <v>118</v>
      </c>
      <c r="E51" s="17"/>
      <c r="F51" s="17"/>
      <c r="G51" s="18" t="n">
        <f aca="false">E51-F51</f>
        <v>0</v>
      </c>
      <c r="H51" s="19"/>
    </row>
    <row r="52" customFormat="false" ht="15" hidden="false" customHeight="false" outlineLevel="0" collapsed="false">
      <c r="A52" s="8" t="n">
        <v>45</v>
      </c>
      <c r="B52" s="15" t="s">
        <v>123</v>
      </c>
      <c r="C52" s="16" t="s">
        <v>148</v>
      </c>
      <c r="D52" s="16" t="s">
        <v>149</v>
      </c>
      <c r="E52" s="17"/>
      <c r="F52" s="17"/>
      <c r="G52" s="18" t="n">
        <f aca="false">E52-F52</f>
        <v>0</v>
      </c>
      <c r="H52" s="19"/>
    </row>
    <row r="53" customFormat="false" ht="15" hidden="false" customHeight="false" outlineLevel="0" collapsed="false">
      <c r="A53" s="8" t="n">
        <v>46</v>
      </c>
      <c r="B53" s="15" t="s">
        <v>123</v>
      </c>
      <c r="C53" s="16" t="s">
        <v>148</v>
      </c>
      <c r="D53" s="16" t="s">
        <v>121</v>
      </c>
      <c r="E53" s="17"/>
      <c r="F53" s="17"/>
      <c r="G53" s="18" t="n">
        <f aca="false">E53-F53</f>
        <v>0</v>
      </c>
      <c r="H53" s="19"/>
    </row>
    <row r="54" customFormat="false" ht="15" hidden="false" customHeight="false" outlineLevel="0" collapsed="false">
      <c r="A54" s="8" t="n">
        <v>47</v>
      </c>
      <c r="B54" s="15" t="s">
        <v>123</v>
      </c>
      <c r="C54" s="16" t="s">
        <v>148</v>
      </c>
      <c r="D54" s="16" t="s">
        <v>150</v>
      </c>
      <c r="E54" s="17"/>
      <c r="F54" s="17"/>
      <c r="G54" s="18" t="n">
        <f aca="false">E54-F54</f>
        <v>0</v>
      </c>
      <c r="H54" s="19"/>
    </row>
    <row r="55" customFormat="false" ht="15" hidden="false" customHeight="false" outlineLevel="0" collapsed="false">
      <c r="A55" s="8" t="n">
        <v>48</v>
      </c>
      <c r="B55" s="15" t="s">
        <v>123</v>
      </c>
      <c r="C55" s="16" t="s">
        <v>151</v>
      </c>
      <c r="D55" s="16" t="s">
        <v>152</v>
      </c>
      <c r="E55" s="17"/>
      <c r="F55" s="17"/>
      <c r="G55" s="18" t="n">
        <f aca="false">E55-F55</f>
        <v>0</v>
      </c>
      <c r="H55" s="19"/>
    </row>
    <row r="56" customFormat="false" ht="15" hidden="false" customHeight="false" outlineLevel="0" collapsed="false">
      <c r="A56" s="20" t="s">
        <v>153</v>
      </c>
      <c r="B56" s="20"/>
      <c r="C56" s="20"/>
      <c r="D56" s="20"/>
      <c r="E56" s="20"/>
      <c r="F56" s="20"/>
      <c r="G56" s="20"/>
      <c r="H56" s="20"/>
    </row>
    <row r="57" customFormat="false" ht="15" hidden="false" customHeight="false" outlineLevel="0" collapsed="false">
      <c r="A57" s="8"/>
      <c r="B57" s="8"/>
      <c r="C57" s="16"/>
      <c r="D57" s="16"/>
      <c r="E57" s="17"/>
      <c r="F57" s="17"/>
      <c r="G57" s="18" t="n">
        <f aca="false">E57-F57</f>
        <v>0</v>
      </c>
      <c r="H57" s="19"/>
    </row>
    <row r="58" customFormat="false" ht="15" hidden="false" customHeight="false" outlineLevel="0" collapsed="false">
      <c r="A58" s="8"/>
      <c r="B58" s="8"/>
      <c r="C58" s="16"/>
      <c r="D58" s="16"/>
      <c r="E58" s="17"/>
      <c r="F58" s="17"/>
      <c r="G58" s="18" t="n">
        <f aca="false">E58-F58</f>
        <v>0</v>
      </c>
      <c r="H58" s="19"/>
    </row>
    <row r="59" customFormat="false" ht="15" hidden="false" customHeight="false" outlineLevel="0" collapsed="false">
      <c r="A59" s="8"/>
      <c r="B59" s="8"/>
      <c r="C59" s="16"/>
      <c r="D59" s="16"/>
      <c r="E59" s="17"/>
      <c r="F59" s="17"/>
      <c r="G59" s="18" t="n">
        <f aca="false">E59-F59</f>
        <v>0</v>
      </c>
      <c r="H59" s="19"/>
    </row>
    <row r="60" customFormat="false" ht="15" hidden="false" customHeight="false" outlineLevel="0" collapsed="false">
      <c r="A60" s="8"/>
      <c r="B60" s="8"/>
      <c r="C60" s="16"/>
      <c r="D60" s="16"/>
      <c r="E60" s="17"/>
      <c r="F60" s="17"/>
      <c r="G60" s="18" t="n">
        <f aca="false">E60-F60</f>
        <v>0</v>
      </c>
      <c r="H60" s="19"/>
    </row>
    <row r="61" customFormat="false" ht="15" hidden="false" customHeight="false" outlineLevel="0" collapsed="false">
      <c r="A61" s="8"/>
      <c r="B61" s="8"/>
      <c r="C61" s="16"/>
      <c r="D61" s="16"/>
      <c r="E61" s="17"/>
      <c r="F61" s="17"/>
      <c r="G61" s="18" t="n">
        <f aca="false">E61-F61</f>
        <v>0</v>
      </c>
      <c r="H61" s="19"/>
    </row>
    <row r="62" customFormat="false" ht="15" hidden="false" customHeight="false" outlineLevel="0" collapsed="false">
      <c r="A62" s="21" t="s">
        <v>154</v>
      </c>
      <c r="B62" s="21"/>
      <c r="C62" s="21"/>
      <c r="D62" s="21"/>
      <c r="E62" s="22" t="n">
        <f aca="false">SUM(E8:E61)</f>
        <v>0</v>
      </c>
      <c r="F62" s="22" t="n">
        <f aca="false">SUM(F8:F61)</f>
        <v>0</v>
      </c>
      <c r="G62" s="22" t="n">
        <f aca="false">SUM(G8:G61)</f>
        <v>0</v>
      </c>
      <c r="H62" s="23"/>
    </row>
  </sheetData>
  <mergeCells count="5">
    <mergeCell ref="A1:H1"/>
    <mergeCell ref="C3:H3"/>
    <mergeCell ref="C4:D4"/>
    <mergeCell ref="A56:H56"/>
    <mergeCell ref="A62:D62"/>
  </mergeCells>
  <dataValidations count="2">
    <dataValidation allowBlank="true" errorStyle="stop" operator="between" showDropDown="false" showErrorMessage="false" showInputMessage="false" sqref="B57:B61" type="list">
      <formula1>"प्रथम वर्ष,द्वितीय वर्ष"</formula1>
      <formula2>0</formula2>
    </dataValidation>
    <dataValidation allowBlank="true" errorStyle="stop" operator="between" showDropDown="false" showErrorMessage="false" showInputMessage="false" sqref="B2" type="list">
      <formula1>"CAMPA APO 2025-26,CAMPA APO 2026-27"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2026-06-22T11:36:13Z</dcterms:created>
  <dc:creator>openpyxl</dc:creator>
  <dc:description/>
  <dc:language>en-US</dc:language>
  <cp:lastModifiedBy/>
  <dcterms:modified xsi:type="dcterms:W3CDTF">2026-06-22T11:36:14Z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
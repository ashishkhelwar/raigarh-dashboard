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Physical Progress" sheetId="2" state="visible" r:id="rId4"/>
    <sheet name="3. Fencing Materials" sheetId="3" state="visible" r:id="rId5"/>
    <sheet name="4. Plantation Materials" sheetId="4" state="visible" r:id="rId6"/>
    <sheet name="6. Nursery Materi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<sst xmlns="http://schemas.openxmlformats.org/spreadsheetml/2006/main" count="302" uniqueCount="93">
  <si>
    <t xml:space="preserve">Plantation Monitoring — Data Entry Workbook</t>
  </si>
  <si>
    <t xml:space="preserve">This workbook feeds the dashboard's monitoring sections. One tab per section.</t>
  </si>
  <si>
    <t xml:space="preserve">Tabs:</t>
  </si>
  <si>
    <t xml:space="preserve">   • '1. Physical Progress'   — site-wise progress of each field activity.</t>
  </si>
  <si>
    <t xml:space="preserve">   • '3. Fencing Materials'   — site-wise fencing materials.</t>
  </si>
  <si>
    <t xml:space="preserve">   • '4. Plantation Materials' — site-wise plantation materials.</t>
  </si>
  <si>
    <t xml:space="preserve">   (More tabs will be added here as new sections are defined.)</t>
  </si>
  <si>
    <t xml:space="preserve">How to fill:</t>
  </si>
  <si>
    <t xml:space="preserve">   • Type only into the YELLOW cells.</t>
  </si>
  <si>
    <t xml:space="preserve">   • Grey cells (S.No., Compartment, Range, Area, Target) are fixed — do not edit.</t>
  </si>
  <si>
    <t xml:space="preserve">   • In '1. Physical Progress', enter progress 0–100 (%). 'Overall %' is auto-calculated.</t>
  </si>
  <si>
    <t xml:space="preserve">     'Bore' and 'Electricity' are drop-downs (Done / In Progress / Pending / N/A).</t>
  </si>
  <si>
    <t xml:space="preserve">   • In the Material tabs, EACH material has 3 columns: Quantity, Amount (₹), Expenditure (₹).</t>
  </si>
  <si>
    <t xml:space="preserve">     Enter all three per site. The Total row sums every column automatically.</t>
  </si>
  <si>
    <t xml:space="preserve">Colour guide:  Yellow = type here   ·   Green = column header   ·   Grey = fixed / auto-calculated.</t>
  </si>
  <si>
    <t xml:space="preserve">SUB-SECTION 1 — PHYSICAL PROGRESS (enter % complete per activity)</t>
  </si>
  <si>
    <t xml:space="preserve">S.No.</t>
  </si>
  <si>
    <t xml:space="preserve">Compartment No.</t>
  </si>
  <si>
    <t xml:space="preserve">Range</t>
  </si>
  <si>
    <t xml:space="preserve">Area (Ha.)</t>
  </si>
  <si>
    <t xml:space="preserve">Site Clearing (%)</t>
  </si>
  <si>
    <t xml:space="preserve">Staking (%)</t>
  </si>
  <si>
    <t xml:space="preserve">Pit Digging (%)</t>
  </si>
  <si>
    <t xml:space="preserve">Fencing (%)</t>
  </si>
  <si>
    <t xml:space="preserve">Bore</t>
  </si>
  <si>
    <t xml:space="preserve">Electricity</t>
  </si>
  <si>
    <t xml:space="preserve">Target</t>
  </si>
  <si>
    <t xml:space="preserve">Overall (%)</t>
  </si>
  <si>
    <t xml:space="preserve">CA Kachkoba 468/26</t>
  </si>
  <si>
    <t xml:space="preserve">तमनार</t>
  </si>
  <si>
    <t xml:space="preserve">CA Kachkoba 497</t>
  </si>
  <si>
    <t xml:space="preserve">CA Jamdabri 51/1</t>
  </si>
  <si>
    <t xml:space="preserve">CA Gharghodi 385/1</t>
  </si>
  <si>
    <t xml:space="preserve">घरघोड़ा</t>
  </si>
  <si>
    <t xml:space="preserve">CA Bhengari 128/2</t>
  </si>
  <si>
    <t xml:space="preserve">CA Natwarpur</t>
  </si>
  <si>
    <t xml:space="preserve">रायगढ़</t>
  </si>
  <si>
    <t xml:space="preserve">CA Chakradharpur</t>
  </si>
  <si>
    <t xml:space="preserve">CA Bengursia</t>
  </si>
  <si>
    <t xml:space="preserve">CA Gudgahan</t>
  </si>
  <si>
    <t xml:space="preserve">CA Chuhipali</t>
  </si>
  <si>
    <t xml:space="preserve">PCA PF1163 Rajghatta</t>
  </si>
  <si>
    <t xml:space="preserve">खरसिया</t>
  </si>
  <si>
    <t xml:space="preserve">1312 RF</t>
  </si>
  <si>
    <t xml:space="preserve">School/Anganbadi, Gharghoda Range</t>
  </si>
  <si>
    <t xml:space="preserve">Baroud to Bulekera</t>
  </si>
  <si>
    <t xml:space="preserve">1288 OA Kurkut River</t>
  </si>
  <si>
    <t xml:space="preserve">Fagurram Dam (surrounding area)</t>
  </si>
  <si>
    <t xml:space="preserve">Porda Village Dam (surrounding area)</t>
  </si>
  <si>
    <t xml:space="preserve">Kurkut River ~3 km (both side)</t>
  </si>
  <si>
    <t xml:space="preserve">1010 RF &amp; Revenue Forest land</t>
  </si>
  <si>
    <t xml:space="preserve">खड़धार 865 PF</t>
  </si>
  <si>
    <t xml:space="preserve">1177,1179,1181,1182 RF &amp; Revenue Forest land</t>
  </si>
  <si>
    <t xml:space="preserve">881 PF &amp; Revenue Forest land</t>
  </si>
  <si>
    <t xml:space="preserve">डारआमा 1183 RF</t>
  </si>
  <si>
    <t xml:space="preserve">881 PF &amp; 880 OA</t>
  </si>
  <si>
    <t xml:space="preserve">—</t>
  </si>
  <si>
    <t xml:space="preserve">सोनबरसा (आड़ाझर) 1194 PF</t>
  </si>
  <si>
    <t xml:space="preserve">खम्हरिया</t>
  </si>
  <si>
    <t xml:space="preserve">डुमरमुड़ा 1017 RF</t>
  </si>
  <si>
    <t xml:space="preserve">SUB-SECTION 3 — FENCING MATERIALS</t>
  </si>
  <si>
    <t xml:space="preserve">Prestressed Poles (Nos)</t>
  </si>
  <si>
    <t xml:space="preserve">Chainlink (Rm)</t>
  </si>
  <si>
    <t xml:space="preserve">Cement (Bags)</t>
  </si>
  <si>
    <t xml:space="preserve">Sand (cmt.)</t>
  </si>
  <si>
    <t xml:space="preserve">Aggregate 20mm (cmt.)</t>
  </si>
  <si>
    <t xml:space="preserve">Qty</t>
  </si>
  <si>
    <t xml:space="preserve">Amount (₹)</t>
  </si>
  <si>
    <t xml:space="preserve">Expend. (₹)</t>
  </si>
  <si>
    <t xml:space="preserve">TOTAL</t>
  </si>
  <si>
    <t xml:space="preserve">SUB-SECTION 4 — PLANTATION MATERIALS</t>
  </si>
  <si>
    <t xml:space="preserve">उपजाऊ मृदा (cmt.)</t>
  </si>
  <si>
    <t xml:space="preserve">वर्मिकम्पोस्ट खाद (Kg)</t>
  </si>
  <si>
    <t xml:space="preserve">DAP (Kg)</t>
  </si>
  <si>
    <t xml:space="preserve">Biofertilizer / Hormones (Kg)</t>
  </si>
  <si>
    <t xml:space="preserve">नीम खली (Kg)</t>
  </si>
  <si>
    <t xml:space="preserve">क्लोरोपायरीफ़ॉस (Ltr)</t>
  </si>
  <si>
    <t xml:space="preserve">एन.पी.के. (Kg)</t>
  </si>
  <si>
    <t xml:space="preserve">SUB-SECTION 6 — NURSERY MATERIALS</t>
  </si>
  <si>
    <t xml:space="preserve">Nursery</t>
  </si>
  <si>
    <t xml:space="preserve">पॉलीपॉट (15×25) (Kg)</t>
  </si>
  <si>
    <t xml:space="preserve">रेत (cmt.)</t>
  </si>
  <si>
    <t xml:space="preserve">मिट्टी (cmt.)</t>
  </si>
  <si>
    <t xml:space="preserve">वर्मी कम्पोस्ट / FYM (cmt.)</t>
  </si>
  <si>
    <t xml:space="preserve">बोनमिल खाद (Bags)</t>
  </si>
  <si>
    <t xml:space="preserve">बीज (Kg)</t>
  </si>
  <si>
    <t xml:space="preserve">कीटनाशक (Ltr)</t>
  </si>
  <si>
    <t xml:space="preserve">नीमखली (Kg)</t>
  </si>
  <si>
    <t xml:space="preserve">पोषक तत्व (Ltr)</t>
  </si>
  <si>
    <t xml:space="preserve">HI-Tech Nursery भेलवाटिकरा</t>
  </si>
  <si>
    <t xml:space="preserve">चोकिमार नर्सरी</t>
  </si>
  <si>
    <t xml:space="preserve">तमनार नर्सरी</t>
  </si>
  <si>
    <t xml:space="preserve">कुरु नर्सरी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</si>
</sst>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#"/>
    <numFmt numFmtId="166" formatCode="0\%"/>
    <numFmt numFmtId="167" formatCode="#,##0"/>
    <numFmt numFmtId="168" formatCode="#,##0.##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5F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C5F2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5F2E"/>
        <bgColor rgb="FF3C7A3F"/>
      </patternFill>
    </fill>
    <fill>
      <patternFill patternType="solid">
        <fgColor rgb="FFEFF3EE"/>
        <bgColor rgb="FFF0F0F0"/>
      </patternFill>
    </fill>
    <fill>
      <patternFill patternType="solid">
        <fgColor rgb="FFFFF6CC"/>
        <bgColor rgb="FFEFF3EE"/>
      </patternFill>
    </fill>
    <fill>
      <patternFill patternType="solid">
        <fgColor rgb="FFF0F0F0"/>
        <bgColor rgb="FFEFF3EE"/>
      </patternFill>
    </fill>
    <fill>
      <patternFill patternType="solid">
        <fgColor rgb="FF3C7A3F"/>
        <bgColor rgb="FF2C5F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EF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C7A3F"/>
      <rgbColor rgb="FF003300"/>
      <rgbColor rgb="FF333300"/>
      <rgbColor rgb="FF993300"/>
      <rgbColor rgb="FF993366"/>
      <rgbColor rgb="FF333399"/>
      <rgbColor rgb="FF2C5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2" t="s">
        <v>3</v>
      </c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2" t="s">
        <v>8</v>
      </c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4" t="s">
        <v>15</v>
      </c>
    </row>
    <row r="2" customFormat="false" ht="30" hidden="false" customHeight="tru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</row>
    <row r="3" customFormat="false" ht="15" hidden="false" customHeight="false" outlineLevel="0" collapsed="false">
      <c r="A3" s="6" t="n">
        <v>1</v>
      </c>
      <c r="B3" s="7" t="s">
        <v>28</v>
      </c>
      <c r="C3" s="6" t="s">
        <v>29</v>
      </c>
      <c r="D3" s="8" t="n">
        <v>12.116</v>
      </c>
      <c r="E3" s="9"/>
      <c r="F3" s="9"/>
      <c r="G3" s="9"/>
      <c r="H3" s="9"/>
      <c r="I3" s="10"/>
      <c r="J3" s="10"/>
      <c r="K3" s="11" t="n">
        <v>13933</v>
      </c>
      <c r="L3" s="12" t="str">
        <f aca="false">IFERROR(ROUND(AVERAGE(E3:H3),0),"")</f>
        <v/>
      </c>
    </row>
    <row r="4" customFormat="false" ht="15" hidden="false" customHeight="false" outlineLevel="0" collapsed="false">
      <c r="A4" s="6" t="n">
        <v>2</v>
      </c>
      <c r="B4" s="7" t="s">
        <v>30</v>
      </c>
      <c r="C4" s="6" t="s">
        <v>29</v>
      </c>
      <c r="D4" s="8" t="n">
        <v>12.147</v>
      </c>
      <c r="E4" s="9"/>
      <c r="F4" s="9"/>
      <c r="G4" s="9"/>
      <c r="H4" s="9"/>
      <c r="I4" s="10"/>
      <c r="J4" s="10"/>
      <c r="K4" s="11" t="n">
        <v>13969</v>
      </c>
      <c r="L4" s="12" t="str">
        <f aca="false">IFERROR(ROUND(AVERAGE(E4:H4),0),"")</f>
        <v/>
      </c>
    </row>
    <row r="5" customFormat="false" ht="15" hidden="false" customHeight="false" outlineLevel="0" collapsed="false">
      <c r="A5" s="6" t="n">
        <v>3</v>
      </c>
      <c r="B5" s="7" t="s">
        <v>31</v>
      </c>
      <c r="C5" s="6" t="s">
        <v>29</v>
      </c>
      <c r="D5" s="8" t="n">
        <v>1.4</v>
      </c>
      <c r="E5" s="9"/>
      <c r="F5" s="9"/>
      <c r="G5" s="9"/>
      <c r="H5" s="9"/>
      <c r="I5" s="10"/>
      <c r="J5" s="10"/>
      <c r="K5" s="11" t="n">
        <v>1610</v>
      </c>
      <c r="L5" s="12" t="str">
        <f aca="false">IFERROR(ROUND(AVERAGE(E5:H5),0),"")</f>
        <v/>
      </c>
    </row>
    <row r="6" customFormat="false" ht="15" hidden="false" customHeight="false" outlineLevel="0" collapsed="false">
      <c r="A6" s="6" t="n">
        <v>4</v>
      </c>
      <c r="B6" s="7" t="s">
        <v>32</v>
      </c>
      <c r="C6" s="6" t="s">
        <v>33</v>
      </c>
      <c r="D6" s="8" t="n">
        <v>4.578</v>
      </c>
      <c r="E6" s="9"/>
      <c r="F6" s="9"/>
      <c r="G6" s="9"/>
      <c r="H6" s="9"/>
      <c r="I6" s="10"/>
      <c r="J6" s="10"/>
      <c r="K6" s="11" t="n">
        <v>5265</v>
      </c>
      <c r="L6" s="12" t="str">
        <f aca="false">IFERROR(ROUND(AVERAGE(E6:H6),0),"")</f>
        <v/>
      </c>
    </row>
    <row r="7" customFormat="false" ht="15" hidden="false" customHeight="false" outlineLevel="0" collapsed="false">
      <c r="A7" s="6" t="n">
        <v>5</v>
      </c>
      <c r="B7" s="7" t="s">
        <v>34</v>
      </c>
      <c r="C7" s="6" t="s">
        <v>33</v>
      </c>
      <c r="D7" s="8" t="n">
        <v>3.035</v>
      </c>
      <c r="E7" s="9"/>
      <c r="F7" s="9"/>
      <c r="G7" s="9"/>
      <c r="H7" s="9"/>
      <c r="I7" s="10"/>
      <c r="J7" s="10"/>
      <c r="K7" s="11" t="n">
        <v>3490</v>
      </c>
      <c r="L7" s="12" t="str">
        <f aca="false">IFERROR(ROUND(AVERAGE(E7:H7),0),"")</f>
        <v/>
      </c>
    </row>
    <row r="8" customFormat="false" ht="15" hidden="false" customHeight="false" outlineLevel="0" collapsed="false">
      <c r="A8" s="6" t="n">
        <v>6</v>
      </c>
      <c r="B8" s="7" t="s">
        <v>35</v>
      </c>
      <c r="C8" s="6" t="s">
        <v>36</v>
      </c>
      <c r="D8" s="8" t="n">
        <v>46.472</v>
      </c>
      <c r="E8" s="9"/>
      <c r="F8" s="9"/>
      <c r="G8" s="9"/>
      <c r="H8" s="9"/>
      <c r="I8" s="10"/>
      <c r="J8" s="10"/>
      <c r="K8" s="11" t="n">
        <v>61800</v>
      </c>
      <c r="L8" s="12" t="str">
        <f aca="false">IFERROR(ROUND(AVERAGE(E8:H8),0),"")</f>
        <v/>
      </c>
    </row>
    <row r="9" customFormat="false" ht="15" hidden="false" customHeight="false" outlineLevel="0" collapsed="false">
      <c r="A9" s="6" t="n">
        <v>7</v>
      </c>
      <c r="B9" s="7" t="s">
        <v>37</v>
      </c>
      <c r="C9" s="6" t="s">
        <v>36</v>
      </c>
      <c r="D9" s="8" t="n">
        <v>58.18</v>
      </c>
      <c r="E9" s="9"/>
      <c r="F9" s="9"/>
      <c r="G9" s="9"/>
      <c r="H9" s="9"/>
      <c r="I9" s="10"/>
      <c r="J9" s="10"/>
      <c r="K9" s="11" t="n">
        <v>86000</v>
      </c>
      <c r="L9" s="12" t="str">
        <f aca="false">IFERROR(ROUND(AVERAGE(E9:H9),0),"")</f>
        <v/>
      </c>
    </row>
    <row r="10" customFormat="false" ht="15" hidden="false" customHeight="false" outlineLevel="0" collapsed="false">
      <c r="A10" s="6" t="n">
        <v>8</v>
      </c>
      <c r="B10" s="7" t="s">
        <v>38</v>
      </c>
      <c r="C10" s="6" t="s">
        <v>36</v>
      </c>
      <c r="D10" s="8" t="n">
        <v>2.822</v>
      </c>
      <c r="E10" s="9"/>
      <c r="F10" s="9"/>
      <c r="G10" s="9"/>
      <c r="H10" s="9"/>
      <c r="I10" s="10"/>
      <c r="J10" s="10"/>
      <c r="K10" s="11" t="n">
        <v>4225</v>
      </c>
      <c r="L10" s="12" t="str">
        <f aca="false">IFERROR(ROUND(AVERAGE(E10:H10),0),"")</f>
        <v/>
      </c>
    </row>
    <row r="11" customFormat="false" ht="15" hidden="false" customHeight="false" outlineLevel="0" collapsed="false">
      <c r="A11" s="6" t="n">
        <v>9</v>
      </c>
      <c r="B11" s="7" t="s">
        <v>39</v>
      </c>
      <c r="C11" s="6" t="s">
        <v>36</v>
      </c>
      <c r="D11" s="8" t="n">
        <v>31.14</v>
      </c>
      <c r="E11" s="9"/>
      <c r="F11" s="9"/>
      <c r="G11" s="9"/>
      <c r="H11" s="9"/>
      <c r="I11" s="10"/>
      <c r="J11" s="10"/>
      <c r="K11" s="11" t="n">
        <v>45450</v>
      </c>
      <c r="L11" s="12" t="str">
        <f aca="false">IFERROR(ROUND(AVERAGE(E11:H11),0),"")</f>
        <v/>
      </c>
    </row>
    <row r="12" customFormat="false" ht="15" hidden="false" customHeight="false" outlineLevel="0" collapsed="false">
      <c r="A12" s="6" t="n">
        <v>10</v>
      </c>
      <c r="B12" s="7" t="s">
        <v>40</v>
      </c>
      <c r="C12" s="6" t="s">
        <v>36</v>
      </c>
      <c r="D12" s="8" t="n">
        <v>11.89</v>
      </c>
      <c r="E12" s="9"/>
      <c r="F12" s="9"/>
      <c r="G12" s="9"/>
      <c r="H12" s="9"/>
      <c r="I12" s="10"/>
      <c r="J12" s="10"/>
      <c r="K12" s="11" t="n">
        <v>17000</v>
      </c>
      <c r="L12" s="12" t="str">
        <f aca="false">IFERROR(ROUND(AVERAGE(E12:H12),0),"")</f>
        <v/>
      </c>
    </row>
    <row r="13" customFormat="false" ht="15" hidden="false" customHeight="false" outlineLevel="0" collapsed="false">
      <c r="A13" s="6" t="n">
        <v>11</v>
      </c>
      <c r="B13" s="7" t="s">
        <v>41</v>
      </c>
      <c r="C13" s="6" t="s">
        <v>42</v>
      </c>
      <c r="D13" s="8" t="n">
        <v>2.8</v>
      </c>
      <c r="E13" s="9"/>
      <c r="F13" s="9"/>
      <c r="G13" s="9"/>
      <c r="H13" s="9"/>
      <c r="I13" s="10"/>
      <c r="J13" s="10"/>
      <c r="K13" s="11" t="n">
        <v>2800</v>
      </c>
      <c r="L13" s="12" t="str">
        <f aca="false">IFERROR(ROUND(AVERAGE(E13:H13),0),"")</f>
        <v/>
      </c>
    </row>
    <row r="14" customFormat="false" ht="15" hidden="false" customHeight="false" outlineLevel="0" collapsed="false">
      <c r="A14" s="6" t="n">
        <v>12</v>
      </c>
      <c r="B14" s="7" t="s">
        <v>43</v>
      </c>
      <c r="C14" s="6" t="s">
        <v>33</v>
      </c>
      <c r="D14" s="8" t="n">
        <v>2.134</v>
      </c>
      <c r="E14" s="9"/>
      <c r="F14" s="9"/>
      <c r="G14" s="9"/>
      <c r="H14" s="9"/>
      <c r="I14" s="10"/>
      <c r="J14" s="10"/>
      <c r="K14" s="11" t="n">
        <v>2134</v>
      </c>
      <c r="L14" s="12" t="str">
        <f aca="false">IFERROR(ROUND(AVERAGE(E14:H14),0),"")</f>
        <v/>
      </c>
    </row>
    <row r="15" customFormat="false" ht="15" hidden="false" customHeight="false" outlineLevel="0" collapsed="false">
      <c r="A15" s="6" t="n">
        <v>13</v>
      </c>
      <c r="B15" s="7" t="s">
        <v>44</v>
      </c>
      <c r="C15" s="6" t="s">
        <v>33</v>
      </c>
      <c r="D15" s="8" t="n">
        <v>0.5</v>
      </c>
      <c r="E15" s="9"/>
      <c r="F15" s="9"/>
      <c r="G15" s="9"/>
      <c r="H15" s="9"/>
      <c r="I15" s="10"/>
      <c r="J15" s="10"/>
      <c r="K15" s="11" t="n">
        <v>20</v>
      </c>
      <c r="L15" s="12" t="str">
        <f aca="false">IFERROR(ROUND(AVERAGE(E15:H15),0),"")</f>
        <v/>
      </c>
    </row>
    <row r="16" customFormat="false" ht="15" hidden="false" customHeight="false" outlineLevel="0" collapsed="false">
      <c r="A16" s="6" t="n">
        <v>14</v>
      </c>
      <c r="B16" s="7" t="s">
        <v>45</v>
      </c>
      <c r="C16" s="6" t="s">
        <v>33</v>
      </c>
      <c r="D16" s="8" t="n">
        <v>4</v>
      </c>
      <c r="E16" s="9"/>
      <c r="F16" s="9"/>
      <c r="G16" s="9"/>
      <c r="H16" s="9"/>
      <c r="I16" s="10"/>
      <c r="J16" s="10"/>
      <c r="K16" s="11" t="n">
        <v>4000</v>
      </c>
      <c r="L16" s="12" t="str">
        <f aca="false">IFERROR(ROUND(AVERAGE(E16:H16),0),"")</f>
        <v/>
      </c>
    </row>
    <row r="17" customFormat="false" ht="15" hidden="false" customHeight="false" outlineLevel="0" collapsed="false">
      <c r="A17" s="6" t="n">
        <v>15</v>
      </c>
      <c r="B17" s="7" t="s">
        <v>46</v>
      </c>
      <c r="C17" s="6" t="s">
        <v>33</v>
      </c>
      <c r="D17" s="8" t="n">
        <v>10</v>
      </c>
      <c r="E17" s="9"/>
      <c r="F17" s="9"/>
      <c r="G17" s="9"/>
      <c r="H17" s="9"/>
      <c r="I17" s="10"/>
      <c r="J17" s="10"/>
      <c r="K17" s="11" t="n">
        <v>8420</v>
      </c>
      <c r="L17" s="12" t="str">
        <f aca="false">IFERROR(ROUND(AVERAGE(E17:H17),0),"")</f>
        <v/>
      </c>
    </row>
    <row r="18" customFormat="false" ht="15" hidden="false" customHeight="false" outlineLevel="0" collapsed="false">
      <c r="A18" s="6" t="n">
        <v>16</v>
      </c>
      <c r="B18" s="7" t="s">
        <v>47</v>
      </c>
      <c r="C18" s="6" t="s">
        <v>33</v>
      </c>
      <c r="D18" s="8" t="n">
        <v>5</v>
      </c>
      <c r="E18" s="9"/>
      <c r="F18" s="9"/>
      <c r="G18" s="9"/>
      <c r="H18" s="9"/>
      <c r="I18" s="10"/>
      <c r="J18" s="10"/>
      <c r="K18" s="11" t="n">
        <v>5000</v>
      </c>
      <c r="L18" s="12" t="str">
        <f aca="false">IFERROR(ROUND(AVERAGE(E18:H18),0),"")</f>
        <v/>
      </c>
    </row>
    <row r="19" customFormat="false" ht="15" hidden="false" customHeight="false" outlineLevel="0" collapsed="false">
      <c r="A19" s="6" t="n">
        <v>17</v>
      </c>
      <c r="B19" s="7" t="s">
        <v>48</v>
      </c>
      <c r="C19" s="6" t="s">
        <v>33</v>
      </c>
      <c r="D19" s="8" t="n">
        <v>8</v>
      </c>
      <c r="E19" s="9"/>
      <c r="F19" s="9"/>
      <c r="G19" s="9"/>
      <c r="H19" s="9"/>
      <c r="I19" s="10"/>
      <c r="J19" s="10"/>
      <c r="K19" s="11" t="n">
        <v>8000</v>
      </c>
      <c r="L19" s="12" t="str">
        <f aca="false">IFERROR(ROUND(AVERAGE(E19:H19),0),"")</f>
        <v/>
      </c>
    </row>
    <row r="20" customFormat="false" ht="15" hidden="false" customHeight="false" outlineLevel="0" collapsed="false">
      <c r="A20" s="6" t="n">
        <v>18</v>
      </c>
      <c r="B20" s="7" t="s">
        <v>49</v>
      </c>
      <c r="C20" s="6" t="s">
        <v>33</v>
      </c>
      <c r="D20" s="8"/>
      <c r="E20" s="9"/>
      <c r="F20" s="9"/>
      <c r="G20" s="9"/>
      <c r="H20" s="9"/>
      <c r="I20" s="10"/>
      <c r="J20" s="10"/>
      <c r="K20" s="6"/>
      <c r="L20" s="12" t="str">
        <f aca="false">IFERROR(ROUND(AVERAGE(E20:H20),0),"")</f>
        <v/>
      </c>
    </row>
    <row r="21" customFormat="false" ht="15" hidden="false" customHeight="false" outlineLevel="0" collapsed="false">
      <c r="A21" s="6" t="n">
        <v>19</v>
      </c>
      <c r="B21" s="7" t="s">
        <v>50</v>
      </c>
      <c r="C21" s="6" t="s">
        <v>36</v>
      </c>
      <c r="D21" s="8" t="n">
        <v>3.551</v>
      </c>
      <c r="E21" s="9"/>
      <c r="F21" s="9"/>
      <c r="G21" s="9"/>
      <c r="H21" s="9"/>
      <c r="I21" s="10"/>
      <c r="J21" s="10"/>
      <c r="K21" s="11" t="n">
        <v>1953</v>
      </c>
      <c r="L21" s="12" t="str">
        <f aca="false">IFERROR(ROUND(AVERAGE(E21:H21),0),"")</f>
        <v/>
      </c>
    </row>
    <row r="22" customFormat="false" ht="15" hidden="false" customHeight="false" outlineLevel="0" collapsed="false">
      <c r="A22" s="6" t="n">
        <v>20</v>
      </c>
      <c r="B22" s="7" t="s">
        <v>51</v>
      </c>
      <c r="C22" s="6" t="s">
        <v>36</v>
      </c>
      <c r="D22" s="8" t="n">
        <v>0.897</v>
      </c>
      <c r="E22" s="9"/>
      <c r="F22" s="9"/>
      <c r="G22" s="9"/>
      <c r="H22" s="9"/>
      <c r="I22" s="10"/>
      <c r="J22" s="10"/>
      <c r="K22" s="11" t="n">
        <v>247</v>
      </c>
      <c r="L22" s="12" t="str">
        <f aca="false">IFERROR(ROUND(AVERAGE(E22:H22),0),"")</f>
        <v/>
      </c>
    </row>
    <row r="23" customFormat="false" ht="15" hidden="false" customHeight="false" outlineLevel="0" collapsed="false">
      <c r="A23" s="6" t="n">
        <v>21</v>
      </c>
      <c r="B23" s="7" t="s">
        <v>52</v>
      </c>
      <c r="C23" s="6" t="s">
        <v>42</v>
      </c>
      <c r="D23" s="8" t="n">
        <v>4.083</v>
      </c>
      <c r="E23" s="9"/>
      <c r="F23" s="9"/>
      <c r="G23" s="9"/>
      <c r="H23" s="9"/>
      <c r="I23" s="10"/>
      <c r="J23" s="10"/>
      <c r="K23" s="11" t="n">
        <v>2643</v>
      </c>
      <c r="L23" s="12" t="str">
        <f aca="false">IFERROR(ROUND(AVERAGE(E23:H23),0),"")</f>
        <v/>
      </c>
    </row>
    <row r="24" customFormat="false" ht="15" hidden="false" customHeight="false" outlineLevel="0" collapsed="false">
      <c r="A24" s="6" t="n">
        <v>22</v>
      </c>
      <c r="B24" s="7" t="s">
        <v>53</v>
      </c>
      <c r="C24" s="6" t="s">
        <v>36</v>
      </c>
      <c r="D24" s="8" t="n">
        <v>0.255</v>
      </c>
      <c r="E24" s="9"/>
      <c r="F24" s="9"/>
      <c r="G24" s="9"/>
      <c r="H24" s="9"/>
      <c r="I24" s="10"/>
      <c r="J24" s="10"/>
      <c r="K24" s="11" t="n">
        <v>140</v>
      </c>
      <c r="L24" s="12" t="str">
        <f aca="false">IFERROR(ROUND(AVERAGE(E24:H24),0),"")</f>
        <v/>
      </c>
    </row>
    <row r="25" customFormat="false" ht="15" hidden="false" customHeight="false" outlineLevel="0" collapsed="false">
      <c r="A25" s="6" t="n">
        <v>23</v>
      </c>
      <c r="B25" s="7" t="s">
        <v>54</v>
      </c>
      <c r="C25" s="6" t="s">
        <v>42</v>
      </c>
      <c r="D25" s="8" t="n">
        <v>0.146</v>
      </c>
      <c r="E25" s="9"/>
      <c r="F25" s="9"/>
      <c r="G25" s="9"/>
      <c r="H25" s="9"/>
      <c r="I25" s="10"/>
      <c r="J25" s="10"/>
      <c r="K25" s="11" t="n">
        <v>81</v>
      </c>
      <c r="L25" s="12" t="str">
        <f aca="false">IFERROR(ROUND(AVERAGE(E25:H25),0),"")</f>
        <v/>
      </c>
    </row>
    <row r="26" customFormat="false" ht="15" hidden="false" customHeight="false" outlineLevel="0" collapsed="false">
      <c r="A26" s="6" t="n">
        <v>24</v>
      </c>
      <c r="B26" s="7" t="s">
        <v>55</v>
      </c>
      <c r="C26" s="6" t="s">
        <v>36</v>
      </c>
      <c r="D26" s="8" t="n">
        <v>0.66</v>
      </c>
      <c r="E26" s="9"/>
      <c r="F26" s="9"/>
      <c r="G26" s="9"/>
      <c r="H26" s="9"/>
      <c r="I26" s="10"/>
      <c r="J26" s="10"/>
      <c r="K26" s="11" t="n">
        <v>363</v>
      </c>
      <c r="L26" s="12" t="str">
        <f aca="false">IFERROR(ROUND(AVERAGE(E26:H26),0),"")</f>
        <v/>
      </c>
    </row>
    <row r="27" customFormat="false" ht="15" hidden="false" customHeight="false" outlineLevel="0" collapsed="false">
      <c r="A27" s="6" t="n">
        <v>25</v>
      </c>
      <c r="B27" s="7" t="s">
        <v>56</v>
      </c>
      <c r="C27" s="6"/>
      <c r="D27" s="8"/>
      <c r="E27" s="9"/>
      <c r="F27" s="9"/>
      <c r="G27" s="9"/>
      <c r="H27" s="9"/>
      <c r="I27" s="10"/>
      <c r="J27" s="10"/>
      <c r="K27" s="6"/>
      <c r="L27" s="12" t="str">
        <f aca="false">IFERROR(ROUND(AVERAGE(E27:H27),0),"")</f>
        <v/>
      </c>
    </row>
    <row r="28" customFormat="false" ht="15" hidden="false" customHeight="false" outlineLevel="0" collapsed="false">
      <c r="A28" s="6" t="n">
        <v>26</v>
      </c>
      <c r="B28" s="7" t="s">
        <v>57</v>
      </c>
      <c r="C28" s="6" t="s">
        <v>42</v>
      </c>
      <c r="D28" s="8" t="n">
        <v>18.45</v>
      </c>
      <c r="E28" s="9"/>
      <c r="F28" s="9"/>
      <c r="G28" s="9"/>
      <c r="H28" s="9"/>
      <c r="I28" s="10"/>
      <c r="J28" s="10"/>
      <c r="K28" s="11" t="n">
        <v>18450</v>
      </c>
      <c r="L28" s="12" t="str">
        <f aca="false">IFERROR(ROUND(AVERAGE(E28:H28),0),"")</f>
        <v/>
      </c>
    </row>
    <row r="29" customFormat="false" ht="15" hidden="false" customHeight="false" outlineLevel="0" collapsed="false">
      <c r="A29" s="6" t="n">
        <v>27</v>
      </c>
      <c r="B29" s="7" t="s">
        <v>58</v>
      </c>
      <c r="C29" s="6" t="s">
        <v>29</v>
      </c>
      <c r="D29" s="8" t="n">
        <v>1</v>
      </c>
      <c r="E29" s="9"/>
      <c r="F29" s="9"/>
      <c r="G29" s="9"/>
      <c r="H29" s="9"/>
      <c r="I29" s="10"/>
      <c r="J29" s="10"/>
      <c r="K29" s="11" t="n">
        <v>1000</v>
      </c>
      <c r="L29" s="12" t="str">
        <f aca="false">IFERROR(ROUND(AVERAGE(E29:H29),0),"")</f>
        <v/>
      </c>
    </row>
    <row r="30" customFormat="false" ht="15" hidden="false" customHeight="false" outlineLevel="0" collapsed="false">
      <c r="A30" s="6" t="n">
        <v>28</v>
      </c>
      <c r="B30" s="7" t="s">
        <v>59</v>
      </c>
      <c r="C30" s="6" t="s">
        <v>36</v>
      </c>
      <c r="D30" s="8" t="n">
        <v>30.23</v>
      </c>
      <c r="E30" s="9"/>
      <c r="F30" s="9"/>
      <c r="G30" s="9"/>
      <c r="H30" s="9"/>
      <c r="I30" s="10"/>
      <c r="J30" s="10"/>
      <c r="K30" s="11" t="n">
        <v>30230</v>
      </c>
      <c r="L30" s="12" t="str">
        <f aca="false">IFERROR(ROUND(AVERAGE(E30:H30),0),"")</f>
        <v/>
      </c>
    </row>
  </sheetData>
  <dataValidations count="1">
    <dataValidation allowBlank="true" errorStyle="stop" operator="between" showDropDown="false" showErrorMessage="false" showInputMessage="false" sqref="I3:J30" type="list">
      <formula1>"Done,In Progress,Pending,N/A"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9" min="18" style="0" width="12"/>
  </cols>
  <sheetData>
    <row r="1" customFormat="false" ht="15" hidden="false" customHeight="false" outlineLevel="0" collapsed="false">
      <c r="A1" s="13" t="s">
        <v>60</v>
      </c>
      <c r="B1" s="13"/>
      <c r="C1" s="13"/>
      <c r="D1" s="13"/>
    </row>
    <row r="2" customFormat="false" ht="30" hidden="false" customHeight="tru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61</v>
      </c>
      <c r="F2" s="5"/>
      <c r="G2" s="5"/>
      <c r="H2" s="5" t="s">
        <v>62</v>
      </c>
      <c r="I2" s="5"/>
      <c r="J2" s="5"/>
      <c r="K2" s="5" t="s">
        <v>63</v>
      </c>
      <c r="L2" s="5"/>
      <c r="M2" s="5"/>
      <c r="N2" s="5" t="s">
        <v>64</v>
      </c>
      <c r="O2" s="5"/>
      <c r="P2" s="5"/>
      <c r="Q2" s="5" t="s">
        <v>65</v>
      </c>
      <c r="R2" s="5"/>
      <c r="S2" s="5"/>
    </row>
    <row r="3" customFormat="false" ht="19.5" hidden="false" customHeight="true" outlineLevel="0" collapsed="false">
      <c r="A3" s="5"/>
      <c r="B3" s="5"/>
      <c r="C3" s="5"/>
      <c r="D3" s="5"/>
      <c r="E3" s="14" t="s">
        <v>66</v>
      </c>
      <c r="F3" s="14" t="s">
        <v>67</v>
      </c>
      <c r="G3" s="14" t="s">
        <v>68</v>
      </c>
      <c r="H3" s="14" t="s">
        <v>66</v>
      </c>
      <c r="I3" s="14" t="s">
        <v>67</v>
      </c>
      <c r="J3" s="14" t="s">
        <v>68</v>
      </c>
      <c r="K3" s="14" t="s">
        <v>66</v>
      </c>
      <c r="L3" s="14" t="s">
        <v>67</v>
      </c>
      <c r="M3" s="14" t="s">
        <v>68</v>
      </c>
      <c r="N3" s="14" t="s">
        <v>66</v>
      </c>
      <c r="O3" s="14" t="s">
        <v>67</v>
      </c>
      <c r="P3" s="14" t="s">
        <v>68</v>
      </c>
      <c r="Q3" s="14" t="s">
        <v>66</v>
      </c>
      <c r="R3" s="14" t="s">
        <v>67</v>
      </c>
      <c r="S3" s="14" t="s">
        <v>68</v>
      </c>
    </row>
    <row r="4" customFormat="false" ht="15" hidden="false" customHeight="false" outlineLevel="0" collapsed="false">
      <c r="A4" s="6" t="n">
        <v>1</v>
      </c>
      <c r="B4" s="7" t="s">
        <v>28</v>
      </c>
      <c r="C4" s="6" t="s">
        <v>29</v>
      </c>
      <c r="D4" s="8" t="n">
        <v>12.116</v>
      </c>
      <c r="E4" s="15"/>
      <c r="F4" s="16"/>
      <c r="G4" s="16"/>
      <c r="H4" s="15"/>
      <c r="I4" s="16"/>
      <c r="J4" s="16"/>
      <c r="K4" s="15"/>
      <c r="L4" s="16"/>
      <c r="M4" s="16"/>
      <c r="N4" s="15"/>
      <c r="O4" s="16"/>
      <c r="P4" s="16"/>
      <c r="Q4" s="15"/>
      <c r="R4" s="16"/>
      <c r="S4" s="16"/>
    </row>
    <row r="5" customFormat="false" ht="15" hidden="false" customHeight="false" outlineLevel="0" collapsed="false">
      <c r="A5" s="6" t="n">
        <v>2</v>
      </c>
      <c r="B5" s="7" t="s">
        <v>30</v>
      </c>
      <c r="C5" s="6" t="s">
        <v>29</v>
      </c>
      <c r="D5" s="8" t="n">
        <v>12.147</v>
      </c>
      <c r="E5" s="15"/>
      <c r="F5" s="16"/>
      <c r="G5" s="16"/>
      <c r="H5" s="15"/>
      <c r="I5" s="16"/>
      <c r="J5" s="16"/>
      <c r="K5" s="15"/>
      <c r="L5" s="16"/>
      <c r="M5" s="16"/>
      <c r="N5" s="15"/>
      <c r="O5" s="16"/>
      <c r="P5" s="16"/>
      <c r="Q5" s="15"/>
      <c r="R5" s="16"/>
      <c r="S5" s="16"/>
    </row>
    <row r="6" customFormat="false" ht="15" hidden="false" customHeight="false" outlineLevel="0" collapsed="false">
      <c r="A6" s="6" t="n">
        <v>3</v>
      </c>
      <c r="B6" s="7" t="s">
        <v>31</v>
      </c>
      <c r="C6" s="6" t="s">
        <v>29</v>
      </c>
      <c r="D6" s="8" t="n">
        <v>1.4</v>
      </c>
      <c r="E6" s="15"/>
      <c r="F6" s="16"/>
      <c r="G6" s="16"/>
      <c r="H6" s="15"/>
      <c r="I6" s="16"/>
      <c r="J6" s="16"/>
      <c r="K6" s="15"/>
      <c r="L6" s="16"/>
      <c r="M6" s="16"/>
      <c r="N6" s="15"/>
      <c r="O6" s="16"/>
      <c r="P6" s="16"/>
      <c r="Q6" s="15"/>
      <c r="R6" s="16"/>
      <c r="S6" s="16"/>
    </row>
    <row r="7" customFormat="false" ht="15" hidden="false" customHeight="false" outlineLevel="0" collapsed="false">
      <c r="A7" s="6" t="n">
        <v>4</v>
      </c>
      <c r="B7" s="7" t="s">
        <v>32</v>
      </c>
      <c r="C7" s="6" t="s">
        <v>33</v>
      </c>
      <c r="D7" s="8" t="n">
        <v>4.578</v>
      </c>
      <c r="E7" s="15"/>
      <c r="F7" s="16"/>
      <c r="G7" s="16"/>
      <c r="H7" s="15"/>
      <c r="I7" s="16"/>
      <c r="J7" s="16"/>
      <c r="K7" s="15"/>
      <c r="L7" s="16"/>
      <c r="M7" s="16"/>
      <c r="N7" s="15"/>
      <c r="O7" s="16"/>
      <c r="P7" s="16"/>
      <c r="Q7" s="15"/>
      <c r="R7" s="16"/>
      <c r="S7" s="16"/>
    </row>
    <row r="8" customFormat="false" ht="15" hidden="false" customHeight="false" outlineLevel="0" collapsed="false">
      <c r="A8" s="6" t="n">
        <v>5</v>
      </c>
      <c r="B8" s="7" t="s">
        <v>34</v>
      </c>
      <c r="C8" s="6" t="s">
        <v>33</v>
      </c>
      <c r="D8" s="8" t="n">
        <v>3.035</v>
      </c>
      <c r="E8" s="15"/>
      <c r="F8" s="16"/>
      <c r="G8" s="16"/>
      <c r="H8" s="15"/>
      <c r="I8" s="16"/>
      <c r="J8" s="16"/>
      <c r="K8" s="15"/>
      <c r="L8" s="16"/>
      <c r="M8" s="16"/>
      <c r="N8" s="15"/>
      <c r="O8" s="16"/>
      <c r="P8" s="16"/>
      <c r="Q8" s="15"/>
      <c r="R8" s="16"/>
      <c r="S8" s="16"/>
    </row>
    <row r="9" customFormat="false" ht="15" hidden="false" customHeight="false" outlineLevel="0" collapsed="false">
      <c r="A9" s="6" t="n">
        <v>6</v>
      </c>
      <c r="B9" s="7" t="s">
        <v>35</v>
      </c>
      <c r="C9" s="6" t="s">
        <v>36</v>
      </c>
      <c r="D9" s="8" t="n">
        <v>46.472</v>
      </c>
      <c r="E9" s="15"/>
      <c r="F9" s="16"/>
      <c r="G9" s="16"/>
      <c r="H9" s="15"/>
      <c r="I9" s="16"/>
      <c r="J9" s="16"/>
      <c r="K9" s="15"/>
      <c r="L9" s="16"/>
      <c r="M9" s="16"/>
      <c r="N9" s="15"/>
      <c r="O9" s="16"/>
      <c r="P9" s="16"/>
      <c r="Q9" s="15"/>
      <c r="R9" s="16"/>
      <c r="S9" s="16"/>
    </row>
    <row r="10" customFormat="false" ht="15" hidden="false" customHeight="false" outlineLevel="0" collapsed="false">
      <c r="A10" s="6" t="n">
        <v>7</v>
      </c>
      <c r="B10" s="7" t="s">
        <v>37</v>
      </c>
      <c r="C10" s="6" t="s">
        <v>36</v>
      </c>
      <c r="D10" s="8" t="n">
        <v>58.18</v>
      </c>
      <c r="E10" s="15"/>
      <c r="F10" s="16"/>
      <c r="G10" s="16"/>
      <c r="H10" s="15"/>
      <c r="I10" s="16"/>
      <c r="J10" s="16"/>
      <c r="K10" s="15"/>
      <c r="L10" s="16"/>
      <c r="M10" s="16"/>
      <c r="N10" s="15"/>
      <c r="O10" s="16"/>
      <c r="P10" s="16"/>
      <c r="Q10" s="15"/>
      <c r="R10" s="16"/>
      <c r="S10" s="16"/>
    </row>
    <row r="11" customFormat="false" ht="15" hidden="false" customHeight="false" outlineLevel="0" collapsed="false">
      <c r="A11" s="6" t="n">
        <v>8</v>
      </c>
      <c r="B11" s="7" t="s">
        <v>38</v>
      </c>
      <c r="C11" s="6" t="s">
        <v>36</v>
      </c>
      <c r="D11" s="8" t="n">
        <v>2.822</v>
      </c>
      <c r="E11" s="15"/>
      <c r="F11" s="16"/>
      <c r="G11" s="16"/>
      <c r="H11" s="15"/>
      <c r="I11" s="16"/>
      <c r="J11" s="16"/>
      <c r="K11" s="15"/>
      <c r="L11" s="16"/>
      <c r="M11" s="16"/>
      <c r="N11" s="15"/>
      <c r="O11" s="16"/>
      <c r="P11" s="16"/>
      <c r="Q11" s="15"/>
      <c r="R11" s="16"/>
      <c r="S11" s="16"/>
    </row>
    <row r="12" customFormat="false" ht="15" hidden="false" customHeight="false" outlineLevel="0" collapsed="false">
      <c r="A12" s="6" t="n">
        <v>9</v>
      </c>
      <c r="B12" s="7" t="s">
        <v>39</v>
      </c>
      <c r="C12" s="6" t="s">
        <v>36</v>
      </c>
      <c r="D12" s="8" t="n">
        <v>31.14</v>
      </c>
      <c r="E12" s="15"/>
      <c r="F12" s="16"/>
      <c r="G12" s="16"/>
      <c r="H12" s="15"/>
      <c r="I12" s="16"/>
      <c r="J12" s="16"/>
      <c r="K12" s="15"/>
      <c r="L12" s="16"/>
      <c r="M12" s="16"/>
      <c r="N12" s="15"/>
      <c r="O12" s="16"/>
      <c r="P12" s="16"/>
      <c r="Q12" s="15"/>
      <c r="R12" s="16"/>
      <c r="S12" s="16"/>
    </row>
    <row r="13" customFormat="false" ht="15" hidden="false" customHeight="false" outlineLevel="0" collapsed="false">
      <c r="A13" s="6" t="n">
        <v>10</v>
      </c>
      <c r="B13" s="7" t="s">
        <v>40</v>
      </c>
      <c r="C13" s="6" t="s">
        <v>36</v>
      </c>
      <c r="D13" s="8" t="n">
        <v>11.89</v>
      </c>
      <c r="E13" s="15"/>
      <c r="F13" s="16"/>
      <c r="G13" s="16"/>
      <c r="H13" s="15"/>
      <c r="I13" s="16"/>
      <c r="J13" s="16"/>
      <c r="K13" s="15"/>
      <c r="L13" s="16"/>
      <c r="M13" s="16"/>
      <c r="N13" s="15"/>
      <c r="O13" s="16"/>
      <c r="P13" s="16"/>
      <c r="Q13" s="15"/>
      <c r="R13" s="16"/>
      <c r="S13" s="16"/>
    </row>
    <row r="14" customFormat="false" ht="15" hidden="false" customHeight="false" outlineLevel="0" collapsed="false">
      <c r="A14" s="6" t="n">
        <v>11</v>
      </c>
      <c r="B14" s="7" t="s">
        <v>41</v>
      </c>
      <c r="C14" s="6" t="s">
        <v>42</v>
      </c>
      <c r="D14" s="8" t="n">
        <v>2.8</v>
      </c>
      <c r="E14" s="15"/>
      <c r="F14" s="16"/>
      <c r="G14" s="16"/>
      <c r="H14" s="15"/>
      <c r="I14" s="16"/>
      <c r="J14" s="16"/>
      <c r="K14" s="15"/>
      <c r="L14" s="16"/>
      <c r="M14" s="16"/>
      <c r="N14" s="15"/>
      <c r="O14" s="16"/>
      <c r="P14" s="16"/>
      <c r="Q14" s="15"/>
      <c r="R14" s="16"/>
      <c r="S14" s="16"/>
    </row>
    <row r="15" customFormat="false" ht="15" hidden="false" customHeight="false" outlineLevel="0" collapsed="false">
      <c r="A15" s="6" t="n">
        <v>12</v>
      </c>
      <c r="B15" s="7" t="s">
        <v>43</v>
      </c>
      <c r="C15" s="6" t="s">
        <v>33</v>
      </c>
      <c r="D15" s="8" t="n">
        <v>2.134</v>
      </c>
      <c r="E15" s="15"/>
      <c r="F15" s="16"/>
      <c r="G15" s="16"/>
      <c r="H15" s="15"/>
      <c r="I15" s="16"/>
      <c r="J15" s="16"/>
      <c r="K15" s="15"/>
      <c r="L15" s="16"/>
      <c r="M15" s="16"/>
      <c r="N15" s="15"/>
      <c r="O15" s="16"/>
      <c r="P15" s="16"/>
      <c r="Q15" s="15"/>
      <c r="R15" s="16"/>
      <c r="S15" s="16"/>
    </row>
    <row r="16" customFormat="false" ht="15" hidden="false" customHeight="false" outlineLevel="0" collapsed="false">
      <c r="A16" s="6" t="n">
        <v>13</v>
      </c>
      <c r="B16" s="7" t="s">
        <v>44</v>
      </c>
      <c r="C16" s="6" t="s">
        <v>33</v>
      </c>
      <c r="D16" s="8" t="n">
        <v>0.5</v>
      </c>
      <c r="E16" s="15"/>
      <c r="F16" s="16"/>
      <c r="G16" s="16"/>
      <c r="H16" s="15"/>
      <c r="I16" s="16"/>
      <c r="J16" s="16"/>
      <c r="K16" s="15"/>
      <c r="L16" s="16"/>
      <c r="M16" s="16"/>
      <c r="N16" s="15"/>
      <c r="O16" s="16"/>
      <c r="P16" s="16"/>
      <c r="Q16" s="15"/>
      <c r="R16" s="16"/>
      <c r="S16" s="16"/>
    </row>
    <row r="17" customFormat="false" ht="15" hidden="false" customHeight="false" outlineLevel="0" collapsed="false">
      <c r="A17" s="6" t="n">
        <v>14</v>
      </c>
      <c r="B17" s="7" t="s">
        <v>45</v>
      </c>
      <c r="C17" s="6" t="s">
        <v>33</v>
      </c>
      <c r="D17" s="6" t="n">
        <v>4</v>
      </c>
      <c r="E17" s="15"/>
      <c r="F17" s="16"/>
      <c r="G17" s="16"/>
      <c r="H17" s="15"/>
      <c r="I17" s="16"/>
      <c r="J17" s="16"/>
      <c r="K17" s="15"/>
      <c r="L17" s="16"/>
      <c r="M17" s="16"/>
      <c r="N17" s="15"/>
      <c r="O17" s="16"/>
      <c r="P17" s="16"/>
      <c r="Q17" s="15"/>
      <c r="R17" s="16"/>
      <c r="S17" s="16"/>
    </row>
    <row r="18" customFormat="false" ht="15" hidden="false" customHeight="false" outlineLevel="0" collapsed="false">
      <c r="A18" s="6" t="n">
        <v>15</v>
      </c>
      <c r="B18" s="7" t="s">
        <v>46</v>
      </c>
      <c r="C18" s="6" t="s">
        <v>33</v>
      </c>
      <c r="D18" s="6" t="n">
        <v>10</v>
      </c>
      <c r="E18" s="15"/>
      <c r="F18" s="16"/>
      <c r="G18" s="16"/>
      <c r="H18" s="15"/>
      <c r="I18" s="16"/>
      <c r="J18" s="16"/>
      <c r="K18" s="15"/>
      <c r="L18" s="16"/>
      <c r="M18" s="16"/>
      <c r="N18" s="15"/>
      <c r="O18" s="16"/>
      <c r="P18" s="16"/>
      <c r="Q18" s="15"/>
      <c r="R18" s="16"/>
      <c r="S18" s="16"/>
    </row>
    <row r="19" customFormat="false" ht="15" hidden="false" customHeight="false" outlineLevel="0" collapsed="false">
      <c r="A19" s="6" t="n">
        <v>16</v>
      </c>
      <c r="B19" s="7" t="s">
        <v>47</v>
      </c>
      <c r="C19" s="6" t="s">
        <v>33</v>
      </c>
      <c r="D19" s="6" t="n">
        <v>5</v>
      </c>
      <c r="E19" s="15"/>
      <c r="F19" s="16"/>
      <c r="G19" s="16"/>
      <c r="H19" s="15"/>
      <c r="I19" s="16"/>
      <c r="J19" s="16"/>
      <c r="K19" s="15"/>
      <c r="L19" s="16"/>
      <c r="M19" s="16"/>
      <c r="N19" s="15"/>
      <c r="O19" s="16"/>
      <c r="P19" s="16"/>
      <c r="Q19" s="15"/>
      <c r="R19" s="16"/>
      <c r="S19" s="16"/>
    </row>
    <row r="20" customFormat="false" ht="15" hidden="false" customHeight="false" outlineLevel="0" collapsed="false">
      <c r="A20" s="6" t="n">
        <v>17</v>
      </c>
      <c r="B20" s="7" t="s">
        <v>48</v>
      </c>
      <c r="C20" s="6" t="s">
        <v>33</v>
      </c>
      <c r="D20" s="6" t="n">
        <v>8</v>
      </c>
      <c r="E20" s="15"/>
      <c r="F20" s="16"/>
      <c r="G20" s="16"/>
      <c r="H20" s="15"/>
      <c r="I20" s="16"/>
      <c r="J20" s="16"/>
      <c r="K20" s="15"/>
      <c r="L20" s="16"/>
      <c r="M20" s="16"/>
      <c r="N20" s="15"/>
      <c r="O20" s="16"/>
      <c r="P20" s="16"/>
      <c r="Q20" s="15"/>
      <c r="R20" s="16"/>
      <c r="S20" s="16"/>
    </row>
    <row r="21" customFormat="false" ht="15" hidden="false" customHeight="false" outlineLevel="0" collapsed="false">
      <c r="A21" s="6" t="n">
        <v>18</v>
      </c>
      <c r="B21" s="7" t="s">
        <v>49</v>
      </c>
      <c r="C21" s="6" t="s">
        <v>33</v>
      </c>
      <c r="D21" s="6"/>
      <c r="E21" s="15"/>
      <c r="F21" s="16"/>
      <c r="G21" s="16"/>
      <c r="H21" s="15"/>
      <c r="I21" s="16"/>
      <c r="J21" s="16"/>
      <c r="K21" s="15"/>
      <c r="L21" s="16"/>
      <c r="M21" s="16"/>
      <c r="N21" s="15"/>
      <c r="O21" s="16"/>
      <c r="P21" s="16"/>
      <c r="Q21" s="15"/>
      <c r="R21" s="16"/>
      <c r="S21" s="16"/>
    </row>
    <row r="22" customFormat="false" ht="15" hidden="false" customHeight="false" outlineLevel="0" collapsed="false">
      <c r="A22" s="6" t="n">
        <v>19</v>
      </c>
      <c r="B22" s="7" t="s">
        <v>50</v>
      </c>
      <c r="C22" s="6" t="s">
        <v>36</v>
      </c>
      <c r="D22" s="8" t="n">
        <v>3.551</v>
      </c>
      <c r="E22" s="15"/>
      <c r="F22" s="16"/>
      <c r="G22" s="16"/>
      <c r="H22" s="15"/>
      <c r="I22" s="16"/>
      <c r="J22" s="16"/>
      <c r="K22" s="15"/>
      <c r="L22" s="16"/>
      <c r="M22" s="16"/>
      <c r="N22" s="15"/>
      <c r="O22" s="16"/>
      <c r="P22" s="16"/>
      <c r="Q22" s="15"/>
      <c r="R22" s="16"/>
      <c r="S22" s="16"/>
    </row>
    <row r="23" customFormat="false" ht="15" hidden="false" customHeight="false" outlineLevel="0" collapsed="false">
      <c r="A23" s="6" t="n">
        <v>20</v>
      </c>
      <c r="B23" s="7" t="s">
        <v>51</v>
      </c>
      <c r="C23" s="6" t="s">
        <v>36</v>
      </c>
      <c r="D23" s="8" t="n">
        <v>0.897</v>
      </c>
      <c r="E23" s="15"/>
      <c r="F23" s="16"/>
      <c r="G23" s="16"/>
      <c r="H23" s="15"/>
      <c r="I23" s="16"/>
      <c r="J23" s="16"/>
      <c r="K23" s="15"/>
      <c r="L23" s="16"/>
      <c r="M23" s="16"/>
      <c r="N23" s="15"/>
      <c r="O23" s="16"/>
      <c r="P23" s="16"/>
      <c r="Q23" s="15"/>
      <c r="R23" s="16"/>
      <c r="S23" s="16"/>
    </row>
    <row r="24" customFormat="false" ht="15" hidden="false" customHeight="false" outlineLevel="0" collapsed="false">
      <c r="A24" s="6" t="n">
        <v>21</v>
      </c>
      <c r="B24" s="7" t="s">
        <v>52</v>
      </c>
      <c r="C24" s="6" t="s">
        <v>42</v>
      </c>
      <c r="D24" s="8" t="n">
        <v>4.083</v>
      </c>
      <c r="E24" s="15"/>
      <c r="F24" s="16"/>
      <c r="G24" s="16"/>
      <c r="H24" s="15"/>
      <c r="I24" s="16"/>
      <c r="J24" s="16"/>
      <c r="K24" s="15"/>
      <c r="L24" s="16"/>
      <c r="M24" s="16"/>
      <c r="N24" s="15"/>
      <c r="O24" s="16"/>
      <c r="P24" s="16"/>
      <c r="Q24" s="15"/>
      <c r="R24" s="16"/>
      <c r="S24" s="16"/>
    </row>
    <row r="25" customFormat="false" ht="15" hidden="false" customHeight="false" outlineLevel="0" collapsed="false">
      <c r="A25" s="6" t="n">
        <v>22</v>
      </c>
      <c r="B25" s="7" t="s">
        <v>53</v>
      </c>
      <c r="C25" s="6" t="s">
        <v>36</v>
      </c>
      <c r="D25" s="8" t="n">
        <v>0.255</v>
      </c>
      <c r="E25" s="15"/>
      <c r="F25" s="16"/>
      <c r="G25" s="16"/>
      <c r="H25" s="15"/>
      <c r="I25" s="16"/>
      <c r="J25" s="16"/>
      <c r="K25" s="15"/>
      <c r="L25" s="16"/>
      <c r="M25" s="16"/>
      <c r="N25" s="15"/>
      <c r="O25" s="16"/>
      <c r="P25" s="16"/>
      <c r="Q25" s="15"/>
      <c r="R25" s="16"/>
      <c r="S25" s="16"/>
    </row>
    <row r="26" customFormat="false" ht="15" hidden="false" customHeight="false" outlineLevel="0" collapsed="false">
      <c r="A26" s="6" t="n">
        <v>23</v>
      </c>
      <c r="B26" s="7" t="s">
        <v>54</v>
      </c>
      <c r="C26" s="6" t="s">
        <v>42</v>
      </c>
      <c r="D26" s="8" t="n">
        <v>0.146</v>
      </c>
      <c r="E26" s="15"/>
      <c r="F26" s="16"/>
      <c r="G26" s="16"/>
      <c r="H26" s="15"/>
      <c r="I26" s="16"/>
      <c r="J26" s="16"/>
      <c r="K26" s="15"/>
      <c r="L26" s="16"/>
      <c r="M26" s="16"/>
      <c r="N26" s="15"/>
      <c r="O26" s="16"/>
      <c r="P26" s="16"/>
      <c r="Q26" s="15"/>
      <c r="R26" s="16"/>
      <c r="S26" s="16"/>
    </row>
    <row r="27" customFormat="false" ht="15" hidden="false" customHeight="false" outlineLevel="0" collapsed="false">
      <c r="A27" s="6" t="n">
        <v>24</v>
      </c>
      <c r="B27" s="7" t="s">
        <v>55</v>
      </c>
      <c r="C27" s="6" t="s">
        <v>36</v>
      </c>
      <c r="D27" s="8" t="n">
        <v>0.66</v>
      </c>
      <c r="E27" s="15"/>
      <c r="F27" s="16"/>
      <c r="G27" s="16"/>
      <c r="H27" s="15"/>
      <c r="I27" s="16"/>
      <c r="J27" s="16"/>
      <c r="K27" s="15"/>
      <c r="L27" s="16"/>
      <c r="M27" s="16"/>
      <c r="N27" s="15"/>
      <c r="O27" s="16"/>
      <c r="P27" s="16"/>
      <c r="Q27" s="15"/>
      <c r="R27" s="16"/>
      <c r="S27" s="16"/>
    </row>
    <row r="28" customFormat="false" ht="15" hidden="false" customHeight="false" outlineLevel="0" collapsed="false">
      <c r="A28" s="6" t="n">
        <v>25</v>
      </c>
      <c r="B28" s="7" t="s">
        <v>56</v>
      </c>
      <c r="C28" s="6"/>
      <c r="D28" s="6"/>
      <c r="E28" s="15"/>
      <c r="F28" s="16"/>
      <c r="G28" s="16"/>
      <c r="H28" s="15"/>
      <c r="I28" s="16"/>
      <c r="J28" s="16"/>
      <c r="K28" s="15"/>
      <c r="L28" s="16"/>
      <c r="M28" s="16"/>
      <c r="N28" s="15"/>
      <c r="O28" s="16"/>
      <c r="P28" s="16"/>
      <c r="Q28" s="15"/>
      <c r="R28" s="16"/>
      <c r="S28" s="16"/>
    </row>
    <row r="29" customFormat="false" ht="15" hidden="false" customHeight="false" outlineLevel="0" collapsed="false">
      <c r="A29" s="6" t="n">
        <v>26</v>
      </c>
      <c r="B29" s="7" t="s">
        <v>57</v>
      </c>
      <c r="C29" s="6" t="s">
        <v>42</v>
      </c>
      <c r="D29" s="8" t="n">
        <v>18.45</v>
      </c>
      <c r="E29" s="15"/>
      <c r="F29" s="16"/>
      <c r="G29" s="16"/>
      <c r="H29" s="15"/>
      <c r="I29" s="16"/>
      <c r="J29" s="16"/>
      <c r="K29" s="15"/>
      <c r="L29" s="16"/>
      <c r="M29" s="16"/>
      <c r="N29" s="15"/>
      <c r="O29" s="16"/>
      <c r="P29" s="16"/>
      <c r="Q29" s="15"/>
      <c r="R29" s="16"/>
      <c r="S29" s="16"/>
    </row>
    <row r="30" customFormat="false" ht="15" hidden="false" customHeight="false" outlineLevel="0" collapsed="false">
      <c r="A30" s="6" t="n">
        <v>27</v>
      </c>
      <c r="B30" s="7" t="s">
        <v>58</v>
      </c>
      <c r="C30" s="6" t="s">
        <v>29</v>
      </c>
      <c r="D30" s="6" t="n">
        <v>1</v>
      </c>
      <c r="E30" s="15"/>
      <c r="F30" s="16"/>
      <c r="G30" s="16"/>
      <c r="H30" s="15"/>
      <c r="I30" s="16"/>
      <c r="J30" s="16"/>
      <c r="K30" s="15"/>
      <c r="L30" s="16"/>
      <c r="M30" s="16"/>
      <c r="N30" s="15"/>
      <c r="O30" s="16"/>
      <c r="P30" s="16"/>
      <c r="Q30" s="15"/>
      <c r="R30" s="16"/>
      <c r="S30" s="16"/>
    </row>
    <row r="31" customFormat="false" ht="15" hidden="false" customHeight="false" outlineLevel="0" collapsed="false">
      <c r="A31" s="6" t="n">
        <v>28</v>
      </c>
      <c r="B31" s="7" t="s">
        <v>59</v>
      </c>
      <c r="C31" s="6" t="s">
        <v>36</v>
      </c>
      <c r="D31" s="8" t="n">
        <v>30.23</v>
      </c>
      <c r="E31" s="15"/>
      <c r="F31" s="16"/>
      <c r="G31" s="16"/>
      <c r="H31" s="15"/>
      <c r="I31" s="16"/>
      <c r="J31" s="16"/>
      <c r="K31" s="15"/>
      <c r="L31" s="16"/>
      <c r="M31" s="16"/>
      <c r="N31" s="15"/>
      <c r="O31" s="16"/>
      <c r="P31" s="16"/>
      <c r="Q31" s="15"/>
      <c r="R31" s="16"/>
      <c r="S31" s="16"/>
    </row>
    <row r="32" customFormat="false" ht="15" hidden="false" customHeight="false" outlineLevel="0" collapsed="false">
      <c r="A32" s="17" t="s">
        <v>69</v>
      </c>
      <c r="B32" s="17"/>
      <c r="C32" s="17"/>
      <c r="D32" s="17"/>
      <c r="E32" s="18" t="n">
        <f aca="false">SUM(E4:E31)</f>
        <v>0</v>
      </c>
      <c r="F32" s="19" t="n">
        <f aca="false">SUM(F4:F31)</f>
        <v>0</v>
      </c>
      <c r="G32" s="19" t="n">
        <f aca="false">SUM(G4:G31)</f>
        <v>0</v>
      </c>
      <c r="H32" s="18" t="n">
        <f aca="false">SUM(H4:H31)</f>
        <v>0</v>
      </c>
      <c r="I32" s="19" t="n">
        <f aca="false">SUM(I4:I31)</f>
        <v>0</v>
      </c>
      <c r="J32" s="19" t="n">
        <f aca="false">SUM(J4:J31)</f>
        <v>0</v>
      </c>
      <c r="K32" s="18" t="n">
        <f aca="false">SUM(K4:K31)</f>
        <v>0</v>
      </c>
      <c r="L32" s="19" t="n">
        <f aca="false">SUM(L4:L31)</f>
        <v>0</v>
      </c>
      <c r="M32" s="19" t="n">
        <f aca="false">SUM(M4:M31)</f>
        <v>0</v>
      </c>
      <c r="N32" s="18" t="n">
        <f aca="false">SUM(N4:N31)</f>
        <v>0</v>
      </c>
      <c r="O32" s="19" t="n">
        <f aca="false">SUM(O4:O31)</f>
        <v>0</v>
      </c>
      <c r="P32" s="19" t="n">
        <f aca="false">SUM(P4:P31)</f>
        <v>0</v>
      </c>
      <c r="Q32" s="18" t="n">
        <f aca="false">SUM(Q4:Q31)</f>
        <v>0</v>
      </c>
      <c r="R32" s="19" t="n">
        <f aca="false">SUM(R4:R31)</f>
        <v>0</v>
      </c>
      <c r="S32" s="19" t="n">
        <f aca="false">SUM(S4:S31)</f>
        <v>0</v>
      </c>
    </row>
  </sheetData>
  <mergeCells count="11">
    <mergeCell ref="A1:D1"/>
    <mergeCell ref="A2:A3"/>
    <mergeCell ref="B2:B3"/>
    <mergeCell ref="C2:C3"/>
    <mergeCell ref="D2:D3"/>
    <mergeCell ref="E2:G2"/>
    <mergeCell ref="H2:J2"/>
    <mergeCell ref="K2:M2"/>
    <mergeCell ref="N2:P2"/>
    <mergeCell ref="Q2:S2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0"/>
    <col collapsed="false" customWidth="true" hidden="false" outlineLevel="0" max="25" min="24" style="0" width="12"/>
  </cols>
  <sheetData>
    <row r="1" customFormat="false" ht="15" hidden="false" customHeight="false" outlineLevel="0" collapsed="false">
      <c r="A1" s="13" t="s">
        <v>70</v>
      </c>
      <c r="B1" s="13"/>
      <c r="C1" s="13"/>
      <c r="D1" s="13"/>
    </row>
    <row r="2" customFormat="false" ht="30" hidden="false" customHeight="tru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71</v>
      </c>
      <c r="F2" s="5"/>
      <c r="G2" s="5"/>
      <c r="H2" s="5" t="s">
        <v>72</v>
      </c>
      <c r="I2" s="5"/>
      <c r="J2" s="5"/>
      <c r="K2" s="5" t="s">
        <v>73</v>
      </c>
      <c r="L2" s="5"/>
      <c r="M2" s="5"/>
      <c r="N2" s="5" t="s">
        <v>74</v>
      </c>
      <c r="O2" s="5"/>
      <c r="P2" s="5"/>
      <c r="Q2" s="5" t="s">
        <v>75</v>
      </c>
      <c r="R2" s="5"/>
      <c r="S2" s="5"/>
      <c r="T2" s="5" t="s">
        <v>76</v>
      </c>
      <c r="U2" s="5"/>
      <c r="V2" s="5"/>
      <c r="W2" s="5" t="s">
        <v>77</v>
      </c>
      <c r="X2" s="5"/>
      <c r="Y2" s="5"/>
    </row>
    <row r="3" customFormat="false" ht="19.5" hidden="false" customHeight="true" outlineLevel="0" collapsed="false">
      <c r="A3" s="5"/>
      <c r="B3" s="5"/>
      <c r="C3" s="5"/>
      <c r="D3" s="5"/>
      <c r="E3" s="14" t="s">
        <v>66</v>
      </c>
      <c r="F3" s="14" t="s">
        <v>67</v>
      </c>
      <c r="G3" s="14" t="s">
        <v>68</v>
      </c>
      <c r="H3" s="14" t="s">
        <v>66</v>
      </c>
      <c r="I3" s="14" t="s">
        <v>67</v>
      </c>
      <c r="J3" s="14" t="s">
        <v>68</v>
      </c>
      <c r="K3" s="14" t="s">
        <v>66</v>
      </c>
      <c r="L3" s="14" t="s">
        <v>67</v>
      </c>
      <c r="M3" s="14" t="s">
        <v>68</v>
      </c>
      <c r="N3" s="14" t="s">
        <v>66</v>
      </c>
      <c r="O3" s="14" t="s">
        <v>67</v>
      </c>
      <c r="P3" s="14" t="s">
        <v>68</v>
      </c>
      <c r="Q3" s="14" t="s">
        <v>66</v>
      </c>
      <c r="R3" s="14" t="s">
        <v>67</v>
      </c>
      <c r="S3" s="14" t="s">
        <v>68</v>
      </c>
      <c r="T3" s="14" t="s">
        <v>66</v>
      </c>
      <c r="U3" s="14" t="s">
        <v>67</v>
      </c>
      <c r="V3" s="14" t="s">
        <v>68</v>
      </c>
      <c r="W3" s="14" t="s">
        <v>66</v>
      </c>
      <c r="X3" s="14" t="s">
        <v>67</v>
      </c>
      <c r="Y3" s="14" t="s">
        <v>68</v>
      </c>
    </row>
    <row r="4" customFormat="false" ht="15" hidden="false" customHeight="false" outlineLevel="0" collapsed="false">
      <c r="A4" s="6" t="n">
        <v>1</v>
      </c>
      <c r="B4" s="7" t="s">
        <v>28</v>
      </c>
      <c r="C4" s="6" t="s">
        <v>29</v>
      </c>
      <c r="D4" s="8" t="n">
        <v>12.116</v>
      </c>
      <c r="E4" s="15"/>
      <c r="F4" s="16"/>
      <c r="G4" s="16"/>
      <c r="H4" s="15"/>
      <c r="I4" s="16"/>
      <c r="J4" s="16"/>
      <c r="K4" s="15"/>
      <c r="L4" s="16"/>
      <c r="M4" s="16"/>
      <c r="N4" s="15"/>
      <c r="O4" s="16"/>
      <c r="P4" s="16"/>
      <c r="Q4" s="15"/>
      <c r="R4" s="16"/>
      <c r="S4" s="16"/>
      <c r="T4" s="15"/>
      <c r="U4" s="16"/>
      <c r="V4" s="16"/>
      <c r="W4" s="15"/>
      <c r="X4" s="16"/>
      <c r="Y4" s="16"/>
    </row>
    <row r="5" customFormat="false" ht="15" hidden="false" customHeight="false" outlineLevel="0" collapsed="false">
      <c r="A5" s="6" t="n">
        <v>2</v>
      </c>
      <c r="B5" s="7" t="s">
        <v>30</v>
      </c>
      <c r="C5" s="6" t="s">
        <v>29</v>
      </c>
      <c r="D5" s="8" t="n">
        <v>12.147</v>
      </c>
      <c r="E5" s="15"/>
      <c r="F5" s="16"/>
      <c r="G5" s="16"/>
      <c r="H5" s="15"/>
      <c r="I5" s="16"/>
      <c r="J5" s="16"/>
      <c r="K5" s="15"/>
      <c r="L5" s="16"/>
      <c r="M5" s="16"/>
      <c r="N5" s="15"/>
      <c r="O5" s="16"/>
      <c r="P5" s="16"/>
      <c r="Q5" s="15"/>
      <c r="R5" s="16"/>
      <c r="S5" s="16"/>
      <c r="T5" s="15"/>
      <c r="U5" s="16"/>
      <c r="V5" s="16"/>
      <c r="W5" s="15"/>
      <c r="X5" s="16"/>
      <c r="Y5" s="16"/>
    </row>
    <row r="6" customFormat="false" ht="15" hidden="false" customHeight="false" outlineLevel="0" collapsed="false">
      <c r="A6" s="6" t="n">
        <v>3</v>
      </c>
      <c r="B6" s="7" t="s">
        <v>31</v>
      </c>
      <c r="C6" s="6" t="s">
        <v>29</v>
      </c>
      <c r="D6" s="8" t="n">
        <v>1.4</v>
      </c>
      <c r="E6" s="15"/>
      <c r="F6" s="16"/>
      <c r="G6" s="16"/>
      <c r="H6" s="15"/>
      <c r="I6" s="16"/>
      <c r="J6" s="16"/>
      <c r="K6" s="15"/>
      <c r="L6" s="16"/>
      <c r="M6" s="16"/>
      <c r="N6" s="15"/>
      <c r="O6" s="16"/>
      <c r="P6" s="16"/>
      <c r="Q6" s="15"/>
      <c r="R6" s="16"/>
      <c r="S6" s="16"/>
      <c r="T6" s="15"/>
      <c r="U6" s="16"/>
      <c r="V6" s="16"/>
      <c r="W6" s="15"/>
      <c r="X6" s="16"/>
      <c r="Y6" s="16"/>
    </row>
    <row r="7" customFormat="false" ht="15" hidden="false" customHeight="false" outlineLevel="0" collapsed="false">
      <c r="A7" s="6" t="n">
        <v>4</v>
      </c>
      <c r="B7" s="7" t="s">
        <v>32</v>
      </c>
      <c r="C7" s="6" t="s">
        <v>33</v>
      </c>
      <c r="D7" s="8" t="n">
        <v>4.578</v>
      </c>
      <c r="E7" s="15"/>
      <c r="F7" s="16"/>
      <c r="G7" s="16"/>
      <c r="H7" s="15"/>
      <c r="I7" s="16"/>
      <c r="J7" s="16"/>
      <c r="K7" s="15"/>
      <c r="L7" s="16"/>
      <c r="M7" s="16"/>
      <c r="N7" s="15"/>
      <c r="O7" s="16"/>
      <c r="P7" s="16"/>
      <c r="Q7" s="15"/>
      <c r="R7" s="16"/>
      <c r="S7" s="16"/>
      <c r="T7" s="15"/>
      <c r="U7" s="16"/>
      <c r="V7" s="16"/>
      <c r="W7" s="15"/>
      <c r="X7" s="16"/>
      <c r="Y7" s="16"/>
    </row>
    <row r="8" customFormat="false" ht="15" hidden="false" customHeight="false" outlineLevel="0" collapsed="false">
      <c r="A8" s="6" t="n">
        <v>5</v>
      </c>
      <c r="B8" s="7" t="s">
        <v>34</v>
      </c>
      <c r="C8" s="6" t="s">
        <v>33</v>
      </c>
      <c r="D8" s="8" t="n">
        <v>3.035</v>
      </c>
      <c r="E8" s="15"/>
      <c r="F8" s="16"/>
      <c r="G8" s="16"/>
      <c r="H8" s="15"/>
      <c r="I8" s="16"/>
      <c r="J8" s="16"/>
      <c r="K8" s="15"/>
      <c r="L8" s="16"/>
      <c r="M8" s="16"/>
      <c r="N8" s="15"/>
      <c r="O8" s="16"/>
      <c r="P8" s="16"/>
      <c r="Q8" s="15"/>
      <c r="R8" s="16"/>
      <c r="S8" s="16"/>
      <c r="T8" s="15"/>
      <c r="U8" s="16"/>
      <c r="V8" s="16"/>
      <c r="W8" s="15"/>
      <c r="X8" s="16"/>
      <c r="Y8" s="16"/>
    </row>
    <row r="9" customFormat="false" ht="15" hidden="false" customHeight="false" outlineLevel="0" collapsed="false">
      <c r="A9" s="6" t="n">
        <v>6</v>
      </c>
      <c r="B9" s="7" t="s">
        <v>35</v>
      </c>
      <c r="C9" s="6" t="s">
        <v>36</v>
      </c>
      <c r="D9" s="8" t="n">
        <v>46.472</v>
      </c>
      <c r="E9" s="15"/>
      <c r="F9" s="16"/>
      <c r="G9" s="16"/>
      <c r="H9" s="15"/>
      <c r="I9" s="16"/>
      <c r="J9" s="16"/>
      <c r="K9" s="15"/>
      <c r="L9" s="16"/>
      <c r="M9" s="16"/>
      <c r="N9" s="15"/>
      <c r="O9" s="16"/>
      <c r="P9" s="16"/>
      <c r="Q9" s="15"/>
      <c r="R9" s="16"/>
      <c r="S9" s="16"/>
      <c r="T9" s="15"/>
      <c r="U9" s="16"/>
      <c r="V9" s="16"/>
      <c r="W9" s="15"/>
      <c r="X9" s="16"/>
      <c r="Y9" s="16"/>
    </row>
    <row r="10" customFormat="false" ht="15" hidden="false" customHeight="false" outlineLevel="0" collapsed="false">
      <c r="A10" s="6" t="n">
        <v>7</v>
      </c>
      <c r="B10" s="7" t="s">
        <v>37</v>
      </c>
      <c r="C10" s="6" t="s">
        <v>36</v>
      </c>
      <c r="D10" s="8" t="n">
        <v>58.18</v>
      </c>
      <c r="E10" s="15"/>
      <c r="F10" s="16"/>
      <c r="G10" s="16"/>
      <c r="H10" s="15"/>
      <c r="I10" s="16"/>
      <c r="J10" s="16"/>
      <c r="K10" s="15"/>
      <c r="L10" s="16"/>
      <c r="M10" s="16"/>
      <c r="N10" s="15"/>
      <c r="O10" s="16"/>
      <c r="P10" s="16"/>
      <c r="Q10" s="15"/>
      <c r="R10" s="16"/>
      <c r="S10" s="16"/>
      <c r="T10" s="15"/>
      <c r="U10" s="16"/>
      <c r="V10" s="16"/>
      <c r="W10" s="15"/>
      <c r="X10" s="16"/>
      <c r="Y10" s="16"/>
    </row>
    <row r="11" customFormat="false" ht="15" hidden="false" customHeight="false" outlineLevel="0" collapsed="false">
      <c r="A11" s="6" t="n">
        <v>8</v>
      </c>
      <c r="B11" s="7" t="s">
        <v>38</v>
      </c>
      <c r="C11" s="6" t="s">
        <v>36</v>
      </c>
      <c r="D11" s="8" t="n">
        <v>2.822</v>
      </c>
      <c r="E11" s="15"/>
      <c r="F11" s="16"/>
      <c r="G11" s="16"/>
      <c r="H11" s="15"/>
      <c r="I11" s="16"/>
      <c r="J11" s="16"/>
      <c r="K11" s="15"/>
      <c r="L11" s="16"/>
      <c r="M11" s="16"/>
      <c r="N11" s="15"/>
      <c r="O11" s="16"/>
      <c r="P11" s="16"/>
      <c r="Q11" s="15"/>
      <c r="R11" s="16"/>
      <c r="S11" s="16"/>
      <c r="T11" s="15"/>
      <c r="U11" s="16"/>
      <c r="V11" s="16"/>
      <c r="W11" s="15"/>
      <c r="X11" s="16"/>
      <c r="Y11" s="16"/>
    </row>
    <row r="12" customFormat="false" ht="15" hidden="false" customHeight="false" outlineLevel="0" collapsed="false">
      <c r="A12" s="6" t="n">
        <v>9</v>
      </c>
      <c r="B12" s="7" t="s">
        <v>39</v>
      </c>
      <c r="C12" s="6" t="s">
        <v>36</v>
      </c>
      <c r="D12" s="8" t="n">
        <v>31.14</v>
      </c>
      <c r="E12" s="15"/>
      <c r="F12" s="16"/>
      <c r="G12" s="16"/>
      <c r="H12" s="15"/>
      <c r="I12" s="16"/>
      <c r="J12" s="16"/>
      <c r="K12" s="15"/>
      <c r="L12" s="16"/>
      <c r="M12" s="16"/>
      <c r="N12" s="15"/>
      <c r="O12" s="16"/>
      <c r="P12" s="16"/>
      <c r="Q12" s="15"/>
      <c r="R12" s="16"/>
      <c r="S12" s="16"/>
      <c r="T12" s="15"/>
      <c r="U12" s="16"/>
      <c r="V12" s="16"/>
      <c r="W12" s="15"/>
      <c r="X12" s="16"/>
      <c r="Y12" s="16"/>
    </row>
    <row r="13" customFormat="false" ht="15" hidden="false" customHeight="false" outlineLevel="0" collapsed="false">
      <c r="A13" s="6" t="n">
        <v>10</v>
      </c>
      <c r="B13" s="7" t="s">
        <v>40</v>
      </c>
      <c r="C13" s="6" t="s">
        <v>36</v>
      </c>
      <c r="D13" s="8" t="n">
        <v>11.89</v>
      </c>
      <c r="E13" s="15"/>
      <c r="F13" s="16"/>
      <c r="G13" s="16"/>
      <c r="H13" s="15"/>
      <c r="I13" s="16"/>
      <c r="J13" s="16"/>
      <c r="K13" s="15"/>
      <c r="L13" s="16"/>
      <c r="M13" s="16"/>
      <c r="N13" s="15"/>
      <c r="O13" s="16"/>
      <c r="P13" s="16"/>
      <c r="Q13" s="15"/>
      <c r="R13" s="16"/>
      <c r="S13" s="16"/>
      <c r="T13" s="15"/>
      <c r="U13" s="16"/>
      <c r="V13" s="16"/>
      <c r="W13" s="15"/>
      <c r="X13" s="16"/>
      <c r="Y13" s="16"/>
    </row>
    <row r="14" customFormat="false" ht="15" hidden="false" customHeight="false" outlineLevel="0" collapsed="false">
      <c r="A14" s="6" t="n">
        <v>11</v>
      </c>
      <c r="B14" s="7" t="s">
        <v>41</v>
      </c>
      <c r="C14" s="6" t="s">
        <v>42</v>
      </c>
      <c r="D14" s="8" t="n">
        <v>2.8</v>
      </c>
      <c r="E14" s="15"/>
      <c r="F14" s="16"/>
      <c r="G14" s="16"/>
      <c r="H14" s="15"/>
      <c r="I14" s="16"/>
      <c r="J14" s="16"/>
      <c r="K14" s="15"/>
      <c r="L14" s="16"/>
      <c r="M14" s="16"/>
      <c r="N14" s="15"/>
      <c r="O14" s="16"/>
      <c r="P14" s="16"/>
      <c r="Q14" s="15"/>
      <c r="R14" s="16"/>
      <c r="S14" s="16"/>
      <c r="T14" s="15"/>
      <c r="U14" s="16"/>
      <c r="V14" s="16"/>
      <c r="W14" s="15"/>
      <c r="X14" s="16"/>
      <c r="Y14" s="16"/>
    </row>
    <row r="15" customFormat="false" ht="15" hidden="false" customHeight="false" outlineLevel="0" collapsed="false">
      <c r="A15" s="6" t="n">
        <v>12</v>
      </c>
      <c r="B15" s="7" t="s">
        <v>43</v>
      </c>
      <c r="C15" s="6" t="s">
        <v>33</v>
      </c>
      <c r="D15" s="8" t="n">
        <v>2.134</v>
      </c>
      <c r="E15" s="15"/>
      <c r="F15" s="16"/>
      <c r="G15" s="16"/>
      <c r="H15" s="15"/>
      <c r="I15" s="16"/>
      <c r="J15" s="16"/>
      <c r="K15" s="15"/>
      <c r="L15" s="16"/>
      <c r="M15" s="16"/>
      <c r="N15" s="15"/>
      <c r="O15" s="16"/>
      <c r="P15" s="16"/>
      <c r="Q15" s="15"/>
      <c r="R15" s="16"/>
      <c r="S15" s="16"/>
      <c r="T15" s="15"/>
      <c r="U15" s="16"/>
      <c r="V15" s="16"/>
      <c r="W15" s="15"/>
      <c r="X15" s="16"/>
      <c r="Y15" s="16"/>
    </row>
    <row r="16" customFormat="false" ht="15" hidden="false" customHeight="false" outlineLevel="0" collapsed="false">
      <c r="A16" s="6" t="n">
        <v>13</v>
      </c>
      <c r="B16" s="7" t="s">
        <v>44</v>
      </c>
      <c r="C16" s="6" t="s">
        <v>33</v>
      </c>
      <c r="D16" s="8" t="n">
        <v>0.5</v>
      </c>
      <c r="E16" s="15"/>
      <c r="F16" s="16"/>
      <c r="G16" s="16"/>
      <c r="H16" s="15"/>
      <c r="I16" s="16"/>
      <c r="J16" s="16"/>
      <c r="K16" s="15"/>
      <c r="L16" s="16"/>
      <c r="M16" s="16"/>
      <c r="N16" s="15"/>
      <c r="O16" s="16"/>
      <c r="P16" s="16"/>
      <c r="Q16" s="15"/>
      <c r="R16" s="16"/>
      <c r="S16" s="16"/>
      <c r="T16" s="15"/>
      <c r="U16" s="16"/>
      <c r="V16" s="16"/>
      <c r="W16" s="15"/>
      <c r="X16" s="16"/>
      <c r="Y16" s="16"/>
    </row>
    <row r="17" customFormat="false" ht="15" hidden="false" customHeight="false" outlineLevel="0" collapsed="false">
      <c r="A17" s="6" t="n">
        <v>14</v>
      </c>
      <c r="B17" s="7" t="s">
        <v>45</v>
      </c>
      <c r="C17" s="6" t="s">
        <v>33</v>
      </c>
      <c r="D17" s="6" t="n">
        <v>4</v>
      </c>
      <c r="E17" s="15"/>
      <c r="F17" s="16"/>
      <c r="G17" s="16"/>
      <c r="H17" s="15"/>
      <c r="I17" s="16"/>
      <c r="J17" s="16"/>
      <c r="K17" s="15"/>
      <c r="L17" s="16"/>
      <c r="M17" s="16"/>
      <c r="N17" s="15"/>
      <c r="O17" s="16"/>
      <c r="P17" s="16"/>
      <c r="Q17" s="15"/>
      <c r="R17" s="16"/>
      <c r="S17" s="16"/>
      <c r="T17" s="15"/>
      <c r="U17" s="16"/>
      <c r="V17" s="16"/>
      <c r="W17" s="15"/>
      <c r="X17" s="16"/>
      <c r="Y17" s="16"/>
    </row>
    <row r="18" customFormat="false" ht="15" hidden="false" customHeight="false" outlineLevel="0" collapsed="false">
      <c r="A18" s="6" t="n">
        <v>15</v>
      </c>
      <c r="B18" s="7" t="s">
        <v>46</v>
      </c>
      <c r="C18" s="6" t="s">
        <v>33</v>
      </c>
      <c r="D18" s="6" t="n">
        <v>10</v>
      </c>
      <c r="E18" s="15"/>
      <c r="F18" s="16"/>
      <c r="G18" s="16"/>
      <c r="H18" s="15"/>
      <c r="I18" s="16"/>
      <c r="J18" s="16"/>
      <c r="K18" s="15"/>
      <c r="L18" s="16"/>
      <c r="M18" s="16"/>
      <c r="N18" s="15"/>
      <c r="O18" s="16"/>
      <c r="P18" s="16"/>
      <c r="Q18" s="15"/>
      <c r="R18" s="16"/>
      <c r="S18" s="16"/>
      <c r="T18" s="15"/>
      <c r="U18" s="16"/>
      <c r="V18" s="16"/>
      <c r="W18" s="15"/>
      <c r="X18" s="16"/>
      <c r="Y18" s="16"/>
    </row>
    <row r="19" customFormat="false" ht="15" hidden="false" customHeight="false" outlineLevel="0" collapsed="false">
      <c r="A19" s="6" t="n">
        <v>16</v>
      </c>
      <c r="B19" s="7" t="s">
        <v>47</v>
      </c>
      <c r="C19" s="6" t="s">
        <v>33</v>
      </c>
      <c r="D19" s="6" t="n">
        <v>5</v>
      </c>
      <c r="E19" s="15"/>
      <c r="F19" s="16"/>
      <c r="G19" s="16"/>
      <c r="H19" s="15"/>
      <c r="I19" s="16"/>
      <c r="J19" s="16"/>
      <c r="K19" s="15"/>
      <c r="L19" s="16"/>
      <c r="M19" s="16"/>
      <c r="N19" s="15"/>
      <c r="O19" s="16"/>
      <c r="P19" s="16"/>
      <c r="Q19" s="15"/>
      <c r="R19" s="16"/>
      <c r="S19" s="16"/>
      <c r="T19" s="15"/>
      <c r="U19" s="16"/>
      <c r="V19" s="16"/>
      <c r="W19" s="15"/>
      <c r="X19" s="16"/>
      <c r="Y19" s="16"/>
    </row>
    <row r="20" customFormat="false" ht="15" hidden="false" customHeight="false" outlineLevel="0" collapsed="false">
      <c r="A20" s="6" t="n">
        <v>17</v>
      </c>
      <c r="B20" s="7" t="s">
        <v>48</v>
      </c>
      <c r="C20" s="6" t="s">
        <v>33</v>
      </c>
      <c r="D20" s="6" t="n">
        <v>8</v>
      </c>
      <c r="E20" s="15"/>
      <c r="F20" s="16"/>
      <c r="G20" s="16"/>
      <c r="H20" s="15"/>
      <c r="I20" s="16"/>
      <c r="J20" s="16"/>
      <c r="K20" s="15"/>
      <c r="L20" s="16"/>
      <c r="M20" s="16"/>
      <c r="N20" s="15"/>
      <c r="O20" s="16"/>
      <c r="P20" s="16"/>
      <c r="Q20" s="15"/>
      <c r="R20" s="16"/>
      <c r="S20" s="16"/>
      <c r="T20" s="15"/>
      <c r="U20" s="16"/>
      <c r="V20" s="16"/>
      <c r="W20" s="15"/>
      <c r="X20" s="16"/>
      <c r="Y20" s="16"/>
    </row>
    <row r="21" customFormat="false" ht="15" hidden="false" customHeight="false" outlineLevel="0" collapsed="false">
      <c r="A21" s="6" t="n">
        <v>18</v>
      </c>
      <c r="B21" s="7" t="s">
        <v>49</v>
      </c>
      <c r="C21" s="6" t="s">
        <v>33</v>
      </c>
      <c r="D21" s="6"/>
      <c r="E21" s="15"/>
      <c r="F21" s="16"/>
      <c r="G21" s="16"/>
      <c r="H21" s="15"/>
      <c r="I21" s="16"/>
      <c r="J21" s="16"/>
      <c r="K21" s="15"/>
      <c r="L21" s="16"/>
      <c r="M21" s="16"/>
      <c r="N21" s="15"/>
      <c r="O21" s="16"/>
      <c r="P21" s="16"/>
      <c r="Q21" s="15"/>
      <c r="R21" s="16"/>
      <c r="S21" s="16"/>
      <c r="T21" s="15"/>
      <c r="U21" s="16"/>
      <c r="V21" s="16"/>
      <c r="W21" s="15"/>
      <c r="X21" s="16"/>
      <c r="Y21" s="16"/>
    </row>
    <row r="22" customFormat="false" ht="15" hidden="false" customHeight="false" outlineLevel="0" collapsed="false">
      <c r="A22" s="6" t="n">
        <v>19</v>
      </c>
      <c r="B22" s="7" t="s">
        <v>50</v>
      </c>
      <c r="C22" s="6" t="s">
        <v>36</v>
      </c>
      <c r="D22" s="8" t="n">
        <v>3.551</v>
      </c>
      <c r="E22" s="15"/>
      <c r="F22" s="16"/>
      <c r="G22" s="16"/>
      <c r="H22" s="15"/>
      <c r="I22" s="16"/>
      <c r="J22" s="16"/>
      <c r="K22" s="15"/>
      <c r="L22" s="16"/>
      <c r="M22" s="16"/>
      <c r="N22" s="15"/>
      <c r="O22" s="16"/>
      <c r="P22" s="16"/>
      <c r="Q22" s="15"/>
      <c r="R22" s="16"/>
      <c r="S22" s="16"/>
      <c r="T22" s="15"/>
      <c r="U22" s="16"/>
      <c r="V22" s="16"/>
      <c r="W22" s="15"/>
      <c r="X22" s="16"/>
      <c r="Y22" s="16"/>
    </row>
    <row r="23" customFormat="false" ht="15" hidden="false" customHeight="false" outlineLevel="0" collapsed="false">
      <c r="A23" s="6" t="n">
        <v>20</v>
      </c>
      <c r="B23" s="7" t="s">
        <v>51</v>
      </c>
      <c r="C23" s="6" t="s">
        <v>36</v>
      </c>
      <c r="D23" s="8" t="n">
        <v>0.897</v>
      </c>
      <c r="E23" s="15"/>
      <c r="F23" s="16"/>
      <c r="G23" s="16"/>
      <c r="H23" s="15"/>
      <c r="I23" s="16"/>
      <c r="J23" s="16"/>
      <c r="K23" s="15"/>
      <c r="L23" s="16"/>
      <c r="M23" s="16"/>
      <c r="N23" s="15"/>
      <c r="O23" s="16"/>
      <c r="P23" s="16"/>
      <c r="Q23" s="15"/>
      <c r="R23" s="16"/>
      <c r="S23" s="16"/>
      <c r="T23" s="15"/>
      <c r="U23" s="16"/>
      <c r="V23" s="16"/>
      <c r="W23" s="15"/>
      <c r="X23" s="16"/>
      <c r="Y23" s="16"/>
    </row>
    <row r="24" customFormat="false" ht="15" hidden="false" customHeight="false" outlineLevel="0" collapsed="false">
      <c r="A24" s="6" t="n">
        <v>21</v>
      </c>
      <c r="B24" s="7" t="s">
        <v>52</v>
      </c>
      <c r="C24" s="6" t="s">
        <v>42</v>
      </c>
      <c r="D24" s="8" t="n">
        <v>4.083</v>
      </c>
      <c r="E24" s="15"/>
      <c r="F24" s="16"/>
      <c r="G24" s="16"/>
      <c r="H24" s="15"/>
      <c r="I24" s="16"/>
      <c r="J24" s="16"/>
      <c r="K24" s="15"/>
      <c r="L24" s="16"/>
      <c r="M24" s="16"/>
      <c r="N24" s="15"/>
      <c r="O24" s="16"/>
      <c r="P24" s="16"/>
      <c r="Q24" s="15"/>
      <c r="R24" s="16"/>
      <c r="S24" s="16"/>
      <c r="T24" s="15"/>
      <c r="U24" s="16"/>
      <c r="V24" s="16"/>
      <c r="W24" s="15"/>
      <c r="X24" s="16"/>
      <c r="Y24" s="16"/>
    </row>
    <row r="25" customFormat="false" ht="15" hidden="false" customHeight="false" outlineLevel="0" collapsed="false">
      <c r="A25" s="6" t="n">
        <v>22</v>
      </c>
      <c r="B25" s="7" t="s">
        <v>53</v>
      </c>
      <c r="C25" s="6" t="s">
        <v>36</v>
      </c>
      <c r="D25" s="8" t="n">
        <v>0.255</v>
      </c>
      <c r="E25" s="15"/>
      <c r="F25" s="16"/>
      <c r="G25" s="16"/>
      <c r="H25" s="15"/>
      <c r="I25" s="16"/>
      <c r="J25" s="16"/>
      <c r="K25" s="15"/>
      <c r="L25" s="16"/>
      <c r="M25" s="16"/>
      <c r="N25" s="15"/>
      <c r="O25" s="16"/>
      <c r="P25" s="16"/>
      <c r="Q25" s="15"/>
      <c r="R25" s="16"/>
      <c r="S25" s="16"/>
      <c r="T25" s="15"/>
      <c r="U25" s="16"/>
      <c r="V25" s="16"/>
      <c r="W25" s="15"/>
      <c r="X25" s="16"/>
      <c r="Y25" s="16"/>
    </row>
    <row r="26" customFormat="false" ht="15" hidden="false" customHeight="false" outlineLevel="0" collapsed="false">
      <c r="A26" s="6" t="n">
        <v>23</v>
      </c>
      <c r="B26" s="7" t="s">
        <v>54</v>
      </c>
      <c r="C26" s="6" t="s">
        <v>42</v>
      </c>
      <c r="D26" s="8" t="n">
        <v>0.146</v>
      </c>
      <c r="E26" s="15"/>
      <c r="F26" s="16"/>
      <c r="G26" s="16"/>
      <c r="H26" s="15"/>
      <c r="I26" s="16"/>
      <c r="J26" s="16"/>
      <c r="K26" s="15"/>
      <c r="L26" s="16"/>
      <c r="M26" s="16"/>
      <c r="N26" s="15"/>
      <c r="O26" s="16"/>
      <c r="P26" s="16"/>
      <c r="Q26" s="15"/>
      <c r="R26" s="16"/>
      <c r="S26" s="16"/>
      <c r="T26" s="15"/>
      <c r="U26" s="16"/>
      <c r="V26" s="16"/>
      <c r="W26" s="15"/>
      <c r="X26" s="16"/>
      <c r="Y26" s="16"/>
    </row>
    <row r="27" customFormat="false" ht="15" hidden="false" customHeight="false" outlineLevel="0" collapsed="false">
      <c r="A27" s="6" t="n">
        <v>24</v>
      </c>
      <c r="B27" s="7" t="s">
        <v>55</v>
      </c>
      <c r="C27" s="6" t="s">
        <v>36</v>
      </c>
      <c r="D27" s="8" t="n">
        <v>0.66</v>
      </c>
      <c r="E27" s="15"/>
      <c r="F27" s="16"/>
      <c r="G27" s="16"/>
      <c r="H27" s="15"/>
      <c r="I27" s="16"/>
      <c r="J27" s="16"/>
      <c r="K27" s="15"/>
      <c r="L27" s="16"/>
      <c r="M27" s="16"/>
      <c r="N27" s="15"/>
      <c r="O27" s="16"/>
      <c r="P27" s="16"/>
      <c r="Q27" s="15"/>
      <c r="R27" s="16"/>
      <c r="S27" s="16"/>
      <c r="T27" s="15"/>
      <c r="U27" s="16"/>
      <c r="V27" s="16"/>
      <c r="W27" s="15"/>
      <c r="X27" s="16"/>
      <c r="Y27" s="16"/>
    </row>
    <row r="28" customFormat="false" ht="15" hidden="false" customHeight="false" outlineLevel="0" collapsed="false">
      <c r="A28" s="6" t="n">
        <v>25</v>
      </c>
      <c r="B28" s="7" t="s">
        <v>56</v>
      </c>
      <c r="C28" s="6"/>
      <c r="D28" s="6"/>
      <c r="E28" s="15"/>
      <c r="F28" s="16"/>
      <c r="G28" s="16"/>
      <c r="H28" s="15"/>
      <c r="I28" s="16"/>
      <c r="J28" s="16"/>
      <c r="K28" s="15"/>
      <c r="L28" s="16"/>
      <c r="M28" s="16"/>
      <c r="N28" s="15"/>
      <c r="O28" s="16"/>
      <c r="P28" s="16"/>
      <c r="Q28" s="15"/>
      <c r="R28" s="16"/>
      <c r="S28" s="16"/>
      <c r="T28" s="15"/>
      <c r="U28" s="16"/>
      <c r="V28" s="16"/>
      <c r="W28" s="15"/>
      <c r="X28" s="16"/>
      <c r="Y28" s="16"/>
    </row>
    <row r="29" customFormat="false" ht="15" hidden="false" customHeight="false" outlineLevel="0" collapsed="false">
      <c r="A29" s="6" t="n">
        <v>26</v>
      </c>
      <c r="B29" s="7" t="s">
        <v>57</v>
      </c>
      <c r="C29" s="6" t="s">
        <v>42</v>
      </c>
      <c r="D29" s="8" t="n">
        <v>18.45</v>
      </c>
      <c r="E29" s="15"/>
      <c r="F29" s="16"/>
      <c r="G29" s="16"/>
      <c r="H29" s="15"/>
      <c r="I29" s="16"/>
      <c r="J29" s="16"/>
      <c r="K29" s="15"/>
      <c r="L29" s="16"/>
      <c r="M29" s="16"/>
      <c r="N29" s="15"/>
      <c r="O29" s="16"/>
      <c r="P29" s="16"/>
      <c r="Q29" s="15"/>
      <c r="R29" s="16"/>
      <c r="S29" s="16"/>
      <c r="T29" s="15"/>
      <c r="U29" s="16"/>
      <c r="V29" s="16"/>
      <c r="W29" s="15"/>
      <c r="X29" s="16"/>
      <c r="Y29" s="16"/>
    </row>
    <row r="30" customFormat="false" ht="15" hidden="false" customHeight="false" outlineLevel="0" collapsed="false">
      <c r="A30" s="6" t="n">
        <v>27</v>
      </c>
      <c r="B30" s="7" t="s">
        <v>58</v>
      </c>
      <c r="C30" s="6" t="s">
        <v>29</v>
      </c>
      <c r="D30" s="6" t="n">
        <v>1</v>
      </c>
      <c r="E30" s="15"/>
      <c r="F30" s="16"/>
      <c r="G30" s="16"/>
      <c r="H30" s="15"/>
      <c r="I30" s="16"/>
      <c r="J30" s="16"/>
      <c r="K30" s="15"/>
      <c r="L30" s="16"/>
      <c r="M30" s="16"/>
      <c r="N30" s="15"/>
      <c r="O30" s="16"/>
      <c r="P30" s="16"/>
      <c r="Q30" s="15"/>
      <c r="R30" s="16"/>
      <c r="S30" s="16"/>
      <c r="T30" s="15"/>
      <c r="U30" s="16"/>
      <c r="V30" s="16"/>
      <c r="W30" s="15"/>
      <c r="X30" s="16"/>
      <c r="Y30" s="16"/>
    </row>
    <row r="31" customFormat="false" ht="15" hidden="false" customHeight="false" outlineLevel="0" collapsed="false">
      <c r="A31" s="6" t="n">
        <v>28</v>
      </c>
      <c r="B31" s="7" t="s">
        <v>59</v>
      </c>
      <c r="C31" s="6" t="s">
        <v>36</v>
      </c>
      <c r="D31" s="8" t="n">
        <v>30.23</v>
      </c>
      <c r="E31" s="15"/>
      <c r="F31" s="16"/>
      <c r="G31" s="16"/>
      <c r="H31" s="15"/>
      <c r="I31" s="16"/>
      <c r="J31" s="16"/>
      <c r="K31" s="15"/>
      <c r="L31" s="16"/>
      <c r="M31" s="16"/>
      <c r="N31" s="15"/>
      <c r="O31" s="16"/>
      <c r="P31" s="16"/>
      <c r="Q31" s="15"/>
      <c r="R31" s="16"/>
      <c r="S31" s="16"/>
      <c r="T31" s="15"/>
      <c r="U31" s="16"/>
      <c r="V31" s="16"/>
      <c r="W31" s="15"/>
      <c r="X31" s="16"/>
      <c r="Y31" s="16"/>
    </row>
    <row r="32" customFormat="false" ht="15" hidden="false" customHeight="false" outlineLevel="0" collapsed="false">
      <c r="A32" s="17" t="s">
        <v>69</v>
      </c>
      <c r="B32" s="17"/>
      <c r="C32" s="17"/>
      <c r="D32" s="17"/>
      <c r="E32" s="18" t="n">
        <f aca="false">SUM(E4:E31)</f>
        <v>0</v>
      </c>
      <c r="F32" s="19" t="n">
        <f aca="false">SUM(F4:F31)</f>
        <v>0</v>
      </c>
      <c r="G32" s="19" t="n">
        <f aca="false">SUM(G4:G31)</f>
        <v>0</v>
      </c>
      <c r="H32" s="18" t="n">
        <f aca="false">SUM(H4:H31)</f>
        <v>0</v>
      </c>
      <c r="I32" s="19" t="n">
        <f aca="false">SUM(I4:I31)</f>
        <v>0</v>
      </c>
      <c r="J32" s="19" t="n">
        <f aca="false">SUM(J4:J31)</f>
        <v>0</v>
      </c>
      <c r="K32" s="18" t="n">
        <f aca="false">SUM(K4:K31)</f>
        <v>0</v>
      </c>
      <c r="L32" s="19" t="n">
        <f aca="false">SUM(L4:L31)</f>
        <v>0</v>
      </c>
      <c r="M32" s="19" t="n">
        <f aca="false">SUM(M4:M31)</f>
        <v>0</v>
      </c>
      <c r="N32" s="18" t="n">
        <f aca="false">SUM(N4:N31)</f>
        <v>0</v>
      </c>
      <c r="O32" s="19" t="n">
        <f aca="false">SUM(O4:O31)</f>
        <v>0</v>
      </c>
      <c r="P32" s="19" t="n">
        <f aca="false">SUM(P4:P31)</f>
        <v>0</v>
      </c>
      <c r="Q32" s="18" t="n">
        <f aca="false">SUM(Q4:Q31)</f>
        <v>0</v>
      </c>
      <c r="R32" s="19" t="n">
        <f aca="false">SUM(R4:R31)</f>
        <v>0</v>
      </c>
      <c r="S32" s="19" t="n">
        <f aca="false">SUM(S4:S31)</f>
        <v>0</v>
      </c>
      <c r="T32" s="18" t="n">
        <f aca="false">SUM(T4:T31)</f>
        <v>0</v>
      </c>
      <c r="U32" s="19" t="n">
        <f aca="false">SUM(U4:U31)</f>
        <v>0</v>
      </c>
      <c r="V32" s="19" t="n">
        <f aca="false">SUM(V4:V31)</f>
        <v>0</v>
      </c>
      <c r="W32" s="18" t="n">
        <f aca="false">SUM(W4:W31)</f>
        <v>0</v>
      </c>
      <c r="X32" s="19" t="n">
        <f aca="false">SUM(X4:X31)</f>
        <v>0</v>
      </c>
      <c r="Y32" s="19" t="n">
        <f aca="false">SUM(Y4:Y31)</f>
        <v>0</v>
      </c>
    </row>
  </sheetData>
  <mergeCells count="13">
    <mergeCell ref="A1:D1"/>
    <mergeCell ref="A2:A3"/>
    <mergeCell ref="B2:B3"/>
    <mergeCell ref="C2:C3"/>
    <mergeCell ref="D2:D3"/>
    <mergeCell ref="E2:G2"/>
    <mergeCell ref="H2:J2"/>
    <mergeCell ref="K2:M2"/>
    <mergeCell ref="N2:P2"/>
    <mergeCell ref="Q2:S2"/>
    <mergeCell ref="T2:V2"/>
    <mergeCell ref="W2:Y2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1" min="20" style="0" width="12"/>
    <col collapsed="false" customWidth="true" hidden="false" outlineLevel="0" max="22" min="22" style="0" width="10"/>
    <col collapsed="false" customWidth="true" hidden="false" outlineLevel="0" max="24" min="23" style="0" width="12"/>
    <col collapsed="false" customWidth="true" hidden="false" outlineLevel="0" max="25" min="25" style="0" width="10"/>
    <col collapsed="false" customWidth="true" hidden="false" outlineLevel="0" max="27" min="26" style="0" width="12"/>
    <col collapsed="false" customWidth="true" hidden="false" outlineLevel="0" max="28" min="28" style="0" width="10"/>
    <col collapsed="false" customWidth="true" hidden="false" outlineLevel="0" max="30" min="29" style="0" width="12"/>
  </cols>
  <sheetData>
    <row r="1" customFormat="false" ht="15" hidden="false" customHeight="false" outlineLevel="0" collapsed="false">
      <c r="A1" s="13" t="s">
        <v>78</v>
      </c>
      <c r="B1" s="13"/>
      <c r="C1" s="13"/>
    </row>
    <row r="2" customFormat="false" ht="30" hidden="false" customHeight="true" outlineLevel="0" collapsed="false">
      <c r="A2" s="5" t="s">
        <v>16</v>
      </c>
      <c r="B2" s="5" t="s">
        <v>79</v>
      </c>
      <c r="C2" s="5" t="s">
        <v>18</v>
      </c>
      <c r="D2" s="5" t="s">
        <v>80</v>
      </c>
      <c r="E2" s="5"/>
      <c r="F2" s="5"/>
      <c r="G2" s="5" t="s">
        <v>81</v>
      </c>
      <c r="H2" s="5"/>
      <c r="I2" s="5"/>
      <c r="J2" s="5" t="s">
        <v>82</v>
      </c>
      <c r="K2" s="5"/>
      <c r="L2" s="5"/>
      <c r="M2" s="5" t="s">
        <v>83</v>
      </c>
      <c r="N2" s="5"/>
      <c r="O2" s="5"/>
      <c r="P2" s="5" t="s">
        <v>84</v>
      </c>
      <c r="Q2" s="5"/>
      <c r="R2" s="5"/>
      <c r="S2" s="5" t="s">
        <v>85</v>
      </c>
      <c r="T2" s="5"/>
      <c r="U2" s="5"/>
      <c r="V2" s="5" t="s">
        <v>86</v>
      </c>
      <c r="W2" s="5"/>
      <c r="X2" s="5"/>
      <c r="Y2" s="5" t="s">
        <v>87</v>
      </c>
      <c r="Z2" s="5"/>
      <c r="AA2" s="5"/>
      <c r="AB2" s="5" t="s">
        <v>88</v>
      </c>
      <c r="AC2" s="5"/>
      <c r="AD2" s="5"/>
    </row>
    <row r="3" customFormat="false" ht="19.5" hidden="false" customHeight="true" outlineLevel="0" collapsed="false">
      <c r="A3" s="5"/>
      <c r="B3" s="5"/>
      <c r="C3" s="5"/>
      <c r="D3" s="14" t="s">
        <v>66</v>
      </c>
      <c r="E3" s="14" t="s">
        <v>67</v>
      </c>
      <c r="F3" s="14" t="s">
        <v>68</v>
      </c>
      <c r="G3" s="14" t="s">
        <v>66</v>
      </c>
      <c r="H3" s="14" t="s">
        <v>67</v>
      </c>
      <c r="I3" s="14" t="s">
        <v>68</v>
      </c>
      <c r="J3" s="14" t="s">
        <v>66</v>
      </c>
      <c r="K3" s="14" t="s">
        <v>67</v>
      </c>
      <c r="L3" s="14" t="s">
        <v>68</v>
      </c>
      <c r="M3" s="14" t="s">
        <v>66</v>
      </c>
      <c r="N3" s="14" t="s">
        <v>67</v>
      </c>
      <c r="O3" s="14" t="s">
        <v>68</v>
      </c>
      <c r="P3" s="14" t="s">
        <v>66</v>
      </c>
      <c r="Q3" s="14" t="s">
        <v>67</v>
      </c>
      <c r="R3" s="14" t="s">
        <v>68</v>
      </c>
      <c r="S3" s="14" t="s">
        <v>66</v>
      </c>
      <c r="T3" s="14" t="s">
        <v>67</v>
      </c>
      <c r="U3" s="14" t="s">
        <v>68</v>
      </c>
      <c r="V3" s="14" t="s">
        <v>66</v>
      </c>
      <c r="W3" s="14" t="s">
        <v>67</v>
      </c>
      <c r="X3" s="14" t="s">
        <v>68</v>
      </c>
      <c r="Y3" s="14" t="s">
        <v>66</v>
      </c>
      <c r="Z3" s="14" t="s">
        <v>67</v>
      </c>
      <c r="AA3" s="14" t="s">
        <v>68</v>
      </c>
      <c r="AB3" s="14" t="s">
        <v>66</v>
      </c>
      <c r="AC3" s="14" t="s">
        <v>67</v>
      </c>
      <c r="AD3" s="14" t="s">
        <v>68</v>
      </c>
    </row>
    <row r="4" customFormat="false" ht="15" hidden="false" customHeight="false" outlineLevel="0" collapsed="false">
      <c r="A4" s="6" t="n">
        <v>1</v>
      </c>
      <c r="B4" s="7" t="s">
        <v>89</v>
      </c>
      <c r="C4" s="6" t="s">
        <v>36</v>
      </c>
      <c r="D4" s="15"/>
      <c r="E4" s="16"/>
      <c r="F4" s="16"/>
      <c r="G4" s="15"/>
      <c r="H4" s="16"/>
      <c r="I4" s="16"/>
      <c r="J4" s="15"/>
      <c r="K4" s="16"/>
      <c r="L4" s="16"/>
      <c r="M4" s="15"/>
      <c r="N4" s="16"/>
      <c r="O4" s="16"/>
      <c r="P4" s="15"/>
      <c r="Q4" s="16"/>
      <c r="R4" s="16"/>
      <c r="S4" s="15"/>
      <c r="T4" s="16"/>
      <c r="U4" s="16"/>
      <c r="V4" s="15"/>
      <c r="W4" s="16"/>
      <c r="X4" s="16"/>
      <c r="Y4" s="15"/>
      <c r="Z4" s="16"/>
      <c r="AA4" s="16"/>
      <c r="AB4" s="15"/>
      <c r="AC4" s="16"/>
      <c r="AD4" s="16"/>
    </row>
    <row r="5" customFormat="false" ht="15" hidden="false" customHeight="false" outlineLevel="0" collapsed="false">
      <c r="A5" s="6" t="n">
        <v>2</v>
      </c>
      <c r="B5" s="7" t="s">
        <v>90</v>
      </c>
      <c r="C5" s="6" t="s">
        <v>33</v>
      </c>
      <c r="D5" s="15"/>
      <c r="E5" s="16"/>
      <c r="F5" s="16"/>
      <c r="G5" s="15"/>
      <c r="H5" s="16"/>
      <c r="I5" s="16"/>
      <c r="J5" s="15"/>
      <c r="K5" s="16"/>
      <c r="L5" s="16"/>
      <c r="M5" s="15"/>
      <c r="N5" s="16"/>
      <c r="O5" s="16"/>
      <c r="P5" s="15"/>
      <c r="Q5" s="16"/>
      <c r="R5" s="16"/>
      <c r="S5" s="15"/>
      <c r="T5" s="16"/>
      <c r="U5" s="16"/>
      <c r="V5" s="15"/>
      <c r="W5" s="16"/>
      <c r="X5" s="16"/>
      <c r="Y5" s="15"/>
      <c r="Z5" s="16"/>
      <c r="AA5" s="16"/>
      <c r="AB5" s="15"/>
      <c r="AC5" s="16"/>
      <c r="AD5" s="16"/>
    </row>
    <row r="6" customFormat="false" ht="15" hidden="false" customHeight="false" outlineLevel="0" collapsed="false">
      <c r="A6" s="6" t="n">
        <v>3</v>
      </c>
      <c r="B6" s="7" t="s">
        <v>91</v>
      </c>
      <c r="C6" s="6" t="s">
        <v>29</v>
      </c>
      <c r="D6" s="15"/>
      <c r="E6" s="16"/>
      <c r="F6" s="16"/>
      <c r="G6" s="15"/>
      <c r="H6" s="16"/>
      <c r="I6" s="16"/>
      <c r="J6" s="15"/>
      <c r="K6" s="16"/>
      <c r="L6" s="16"/>
      <c r="M6" s="15"/>
      <c r="N6" s="16"/>
      <c r="O6" s="16"/>
      <c r="P6" s="15"/>
      <c r="Q6" s="16"/>
      <c r="R6" s="16"/>
      <c r="S6" s="15"/>
      <c r="T6" s="16"/>
      <c r="U6" s="16"/>
      <c r="V6" s="15"/>
      <c r="W6" s="16"/>
      <c r="X6" s="16"/>
      <c r="Y6" s="15"/>
      <c r="Z6" s="16"/>
      <c r="AA6" s="16"/>
      <c r="AB6" s="15"/>
      <c r="AC6" s="16"/>
      <c r="AD6" s="16"/>
    </row>
    <row r="7" customFormat="false" ht="15" hidden="false" customHeight="false" outlineLevel="0" collapsed="false">
      <c r="A7" s="6" t="n">
        <v>4</v>
      </c>
      <c r="B7" s="7" t="s">
        <v>92</v>
      </c>
      <c r="C7" s="6" t="s">
        <v>42</v>
      </c>
      <c r="D7" s="15"/>
      <c r="E7" s="16"/>
      <c r="F7" s="16"/>
      <c r="G7" s="15"/>
      <c r="H7" s="16"/>
      <c r="I7" s="16"/>
      <c r="J7" s="15"/>
      <c r="K7" s="16"/>
      <c r="L7" s="16"/>
      <c r="M7" s="15"/>
      <c r="N7" s="16"/>
      <c r="O7" s="16"/>
      <c r="P7" s="15"/>
      <c r="Q7" s="16"/>
      <c r="R7" s="16"/>
      <c r="S7" s="15"/>
      <c r="T7" s="16"/>
      <c r="U7" s="16"/>
      <c r="V7" s="15"/>
      <c r="W7" s="16"/>
      <c r="X7" s="16"/>
      <c r="Y7" s="15"/>
      <c r="Z7" s="16"/>
      <c r="AA7" s="16"/>
      <c r="AB7" s="15"/>
      <c r="AC7" s="16"/>
      <c r="AD7" s="16"/>
    </row>
    <row r="8" customFormat="false" ht="15" hidden="false" customHeight="false" outlineLevel="0" collapsed="false">
      <c r="A8" s="17" t="s">
        <v>69</v>
      </c>
      <c r="B8" s="17"/>
      <c r="C8" s="17"/>
      <c r="D8" s="18" t="n">
        <f aca="false">SUM(D4:D7)</f>
        <v>0</v>
      </c>
      <c r="E8" s="19" t="n">
        <f aca="false">SUM(E4:E7)</f>
        <v>0</v>
      </c>
      <c r="F8" s="19" t="n">
        <f aca="false">SUM(F4:F7)</f>
        <v>0</v>
      </c>
      <c r="G8" s="18" t="n">
        <f aca="false">SUM(G4:G7)</f>
        <v>0</v>
      </c>
      <c r="H8" s="19" t="n">
        <f aca="false">SUM(H4:H7)</f>
        <v>0</v>
      </c>
      <c r="I8" s="19" t="n">
        <f aca="false">SUM(I4:I7)</f>
        <v>0</v>
      </c>
      <c r="J8" s="18" t="n">
        <f aca="false">SUM(J4:J7)</f>
        <v>0</v>
      </c>
      <c r="K8" s="19" t="n">
        <f aca="false">SUM(K4:K7)</f>
        <v>0</v>
      </c>
      <c r="L8" s="19" t="n">
        <f aca="false">SUM(L4:L7)</f>
        <v>0</v>
      </c>
      <c r="M8" s="18" t="n">
        <f aca="false">SUM(M4:M7)</f>
        <v>0</v>
      </c>
      <c r="N8" s="19" t="n">
        <f aca="false">SUM(N4:N7)</f>
        <v>0</v>
      </c>
      <c r="O8" s="19" t="n">
        <f aca="false">SUM(O4:O7)</f>
        <v>0</v>
      </c>
      <c r="P8" s="18" t="n">
        <f aca="false">SUM(P4:P7)</f>
        <v>0</v>
      </c>
      <c r="Q8" s="19" t="n">
        <f aca="false">SUM(Q4:Q7)</f>
        <v>0</v>
      </c>
      <c r="R8" s="19" t="n">
        <f aca="false">SUM(R4:R7)</f>
        <v>0</v>
      </c>
      <c r="S8" s="18" t="n">
        <f aca="false">SUM(S4:S7)</f>
        <v>0</v>
      </c>
      <c r="T8" s="19" t="n">
        <f aca="false">SUM(T4:T7)</f>
        <v>0</v>
      </c>
      <c r="U8" s="19" t="n">
        <f aca="false">SUM(U4:U7)</f>
        <v>0</v>
      </c>
      <c r="V8" s="18" t="n">
        <f aca="false">SUM(V4:V7)</f>
        <v>0</v>
      </c>
      <c r="W8" s="19" t="n">
        <f aca="false">SUM(W4:W7)</f>
        <v>0</v>
      </c>
      <c r="X8" s="19" t="n">
        <f aca="false">SUM(X4:X7)</f>
        <v>0</v>
      </c>
      <c r="Y8" s="18" t="n">
        <f aca="false">SUM(Y4:Y7)</f>
        <v>0</v>
      </c>
      <c r="Z8" s="19" t="n">
        <f aca="false">SUM(Z4:Z7)</f>
        <v>0</v>
      </c>
      <c r="AA8" s="19" t="n">
        <f aca="false">SUM(AA4:AA7)</f>
        <v>0</v>
      </c>
      <c r="AB8" s="18" t="n">
        <f aca="false">SUM(AB4:AB7)</f>
        <v>0</v>
      </c>
      <c r="AC8" s="19" t="n">
        <f aca="false">SUM(AC4:AC7)</f>
        <v>0</v>
      </c>
      <c r="AD8" s="19" t="n">
        <f aca="false">SUM(AD4:AD7)</f>
        <v>0</v>
      </c>
    </row>
  </sheetData>
  <mergeCells count="14">
    <mergeCell ref="A1:C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2026-06-23T02:42:00Z</dcterms:created>
  <dc:creator>openpyxl</dc:creator>
  <dc:description/>
  <dc:language>en-US</dc:language>
  <cp:lastModifiedBy/>
  <dcterms:modified xsi:type="dcterms:W3CDTF">2026-06-23T02:42:00Z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